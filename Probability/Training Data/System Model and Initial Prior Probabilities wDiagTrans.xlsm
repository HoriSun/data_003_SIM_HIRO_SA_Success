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13275" windowHeight="8445" activeTab="3"/>
  </bookViews>
  <sheets>
    <sheet name="1" sheetId="2" r:id="rId1"/>
    <sheet name="2" sheetId="11" r:id="rId2"/>
    <sheet name="3" sheetId="12" r:id="rId3"/>
    <sheet name="4" sheetId="13" r:id="rId4"/>
    <sheet name="5" sheetId="14" r:id="rId5"/>
    <sheet name="6" sheetId="15" r:id="rId6"/>
    <sheet name="7" sheetId="16" r:id="rId7"/>
    <sheet name="Summary" sheetId="10" r:id="rId8"/>
    <sheet name="Template" sheetId="1" r:id="rId9"/>
  </sheets>
  <calcPr calcId="125725"/>
</workbook>
</file>

<file path=xl/calcChain.xml><?xml version="1.0" encoding="utf-8"?>
<calcChain xmlns="http://schemas.openxmlformats.org/spreadsheetml/2006/main">
  <c r="C11" i="13"/>
  <c r="F11"/>
  <c r="Q7" i="10"/>
  <c r="AJ47"/>
  <c r="AK47"/>
  <c r="AL47"/>
  <c r="AM47"/>
  <c r="AN47"/>
  <c r="AI47" i="16"/>
  <c r="AC47"/>
  <c r="W47"/>
  <c r="W35"/>
  <c r="AC35"/>
  <c r="AI35"/>
  <c r="AI24"/>
  <c r="AC24"/>
  <c r="W24"/>
  <c r="O47"/>
  <c r="I47"/>
  <c r="C47"/>
  <c r="C35"/>
  <c r="I35"/>
  <c r="O35"/>
  <c r="O24"/>
  <c r="I24"/>
  <c r="C24"/>
  <c r="AI47" i="15"/>
  <c r="AC47"/>
  <c r="W47"/>
  <c r="W35"/>
  <c r="AC35"/>
  <c r="AI35"/>
  <c r="AI24"/>
  <c r="AC24"/>
  <c r="W24"/>
  <c r="O47"/>
  <c r="I47"/>
  <c r="C47"/>
  <c r="C35"/>
  <c r="I35"/>
  <c r="O35"/>
  <c r="O24"/>
  <c r="I24"/>
  <c r="C24"/>
  <c r="AI47" i="14"/>
  <c r="AC47"/>
  <c r="W47"/>
  <c r="W35"/>
  <c r="AC35"/>
  <c r="AI35"/>
  <c r="AI24"/>
  <c r="AC24"/>
  <c r="W24"/>
  <c r="O47"/>
  <c r="I47"/>
  <c r="C47"/>
  <c r="C35"/>
  <c r="I35"/>
  <c r="O35"/>
  <c r="O24"/>
  <c r="I24"/>
  <c r="C24"/>
  <c r="AI47" i="13"/>
  <c r="AI47" i="10" s="1"/>
  <c r="AK41" s="1"/>
  <c r="AC47" i="13"/>
  <c r="W47"/>
  <c r="W35"/>
  <c r="AC35"/>
  <c r="AI35"/>
  <c r="AI24"/>
  <c r="AI24" i="10" s="1"/>
  <c r="AK18" s="1"/>
  <c r="AC24" i="13"/>
  <c r="W24"/>
  <c r="O47"/>
  <c r="I47"/>
  <c r="C47"/>
  <c r="C35"/>
  <c r="I35"/>
  <c r="O35"/>
  <c r="O24"/>
  <c r="I24"/>
  <c r="C24"/>
  <c r="AI47" i="12"/>
  <c r="AC47"/>
  <c r="W47"/>
  <c r="W35"/>
  <c r="AC35"/>
  <c r="AI35"/>
  <c r="AI24"/>
  <c r="AC24"/>
  <c r="W24"/>
  <c r="O47"/>
  <c r="I47"/>
  <c r="C47"/>
  <c r="C35"/>
  <c r="I35"/>
  <c r="O35"/>
  <c r="O24"/>
  <c r="I24"/>
  <c r="C24"/>
  <c r="AI47" i="11"/>
  <c r="AC47"/>
  <c r="W47"/>
  <c r="AI35"/>
  <c r="AC35"/>
  <c r="W35"/>
  <c r="AI24"/>
  <c r="AC24"/>
  <c r="W24"/>
  <c r="O47"/>
  <c r="I47"/>
  <c r="C47"/>
  <c r="C47" i="10" s="1"/>
  <c r="D41" s="1"/>
  <c r="O35" i="11"/>
  <c r="I35"/>
  <c r="I35" i="10" s="1"/>
  <c r="C35" i="11"/>
  <c r="O24"/>
  <c r="I24"/>
  <c r="C24"/>
  <c r="AI47" i="2"/>
  <c r="AC47"/>
  <c r="W47"/>
  <c r="W47" i="10" s="1"/>
  <c r="X41" s="1"/>
  <c r="AI35" i="2"/>
  <c r="AC35"/>
  <c r="W35"/>
  <c r="AI24"/>
  <c r="AC24"/>
  <c r="W24"/>
  <c r="O47"/>
  <c r="I47"/>
  <c r="C47"/>
  <c r="O35"/>
  <c r="I35"/>
  <c r="C35"/>
  <c r="O24"/>
  <c r="I24"/>
  <c r="C24"/>
  <c r="C24" i="10" s="1"/>
  <c r="T58" i="16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T58" i="15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T58" i="14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T58" i="13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8" i="12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T58" i="11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P52" i="2"/>
  <c r="Q52"/>
  <c r="R52"/>
  <c r="S52"/>
  <c r="T52"/>
  <c r="P53"/>
  <c r="Q53"/>
  <c r="R53"/>
  <c r="S53"/>
  <c r="T53"/>
  <c r="P54"/>
  <c r="Q54"/>
  <c r="R54"/>
  <c r="S54"/>
  <c r="T54"/>
  <c r="P55"/>
  <c r="Q55"/>
  <c r="R55"/>
  <c r="S55"/>
  <c r="T55"/>
  <c r="P56"/>
  <c r="Q56"/>
  <c r="R56"/>
  <c r="S56"/>
  <c r="T56"/>
  <c r="P57"/>
  <c r="Q57"/>
  <c r="R57"/>
  <c r="S57"/>
  <c r="T57"/>
  <c r="O53"/>
  <c r="O54"/>
  <c r="O55"/>
  <c r="O56"/>
  <c r="O57"/>
  <c r="O52"/>
  <c r="J52"/>
  <c r="K52"/>
  <c r="L52"/>
  <c r="M52"/>
  <c r="N52"/>
  <c r="J53"/>
  <c r="K53"/>
  <c r="L53"/>
  <c r="M53"/>
  <c r="N53"/>
  <c r="J54"/>
  <c r="K54"/>
  <c r="L54"/>
  <c r="M54"/>
  <c r="N54"/>
  <c r="J55"/>
  <c r="K55"/>
  <c r="L55"/>
  <c r="M55"/>
  <c r="N55"/>
  <c r="J56"/>
  <c r="K56"/>
  <c r="L56"/>
  <c r="M56"/>
  <c r="N56"/>
  <c r="J57"/>
  <c r="K57"/>
  <c r="L57"/>
  <c r="M57"/>
  <c r="N57"/>
  <c r="I53"/>
  <c r="I54"/>
  <c r="I55"/>
  <c r="I56"/>
  <c r="I57"/>
  <c r="I52"/>
  <c r="D52"/>
  <c r="E52"/>
  <c r="F52"/>
  <c r="G52"/>
  <c r="H52"/>
  <c r="D53"/>
  <c r="E53"/>
  <c r="F53"/>
  <c r="G53"/>
  <c r="H53"/>
  <c r="D54"/>
  <c r="E54"/>
  <c r="F54"/>
  <c r="G54"/>
  <c r="H54"/>
  <c r="D55"/>
  <c r="E55"/>
  <c r="F55"/>
  <c r="G55"/>
  <c r="H55"/>
  <c r="D56"/>
  <c r="E56"/>
  <c r="F56"/>
  <c r="G56"/>
  <c r="H56"/>
  <c r="D57"/>
  <c r="E57"/>
  <c r="F57"/>
  <c r="G57"/>
  <c r="H57"/>
  <c r="C53"/>
  <c r="C54"/>
  <c r="C55"/>
  <c r="C56"/>
  <c r="C57"/>
  <c r="C52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C60" i="10"/>
  <c r="D60"/>
  <c r="E60"/>
  <c r="F60"/>
  <c r="G60"/>
  <c r="H60"/>
  <c r="I60"/>
  <c r="J60"/>
  <c r="K60"/>
  <c r="L60"/>
  <c r="M60"/>
  <c r="N60"/>
  <c r="O60"/>
  <c r="P60"/>
  <c r="Q60"/>
  <c r="R60"/>
  <c r="S60"/>
  <c r="T60"/>
  <c r="B60"/>
  <c r="X47"/>
  <c r="Y47"/>
  <c r="Z47"/>
  <c r="AA47"/>
  <c r="AB47"/>
  <c r="AC47"/>
  <c r="AE41" s="1"/>
  <c r="AD47"/>
  <c r="AE47"/>
  <c r="AF47"/>
  <c r="AG47"/>
  <c r="AH47"/>
  <c r="X35"/>
  <c r="Y35"/>
  <c r="Z35"/>
  <c r="AA35"/>
  <c r="AB35"/>
  <c r="AC35"/>
  <c r="AE29" s="1"/>
  <c r="AD35"/>
  <c r="AE35"/>
  <c r="AF35"/>
  <c r="AG35"/>
  <c r="AH35"/>
  <c r="AI35"/>
  <c r="AK29" s="1"/>
  <c r="AJ35"/>
  <c r="AK35"/>
  <c r="AL35"/>
  <c r="AM35"/>
  <c r="AN35"/>
  <c r="X24"/>
  <c r="Y24"/>
  <c r="Z24"/>
  <c r="AA24"/>
  <c r="AB24"/>
  <c r="AC24"/>
  <c r="AE18" s="1"/>
  <c r="AD24"/>
  <c r="AE24"/>
  <c r="AF24"/>
  <c r="AG24"/>
  <c r="AH24"/>
  <c r="AJ24"/>
  <c r="AK24"/>
  <c r="AL24"/>
  <c r="AM24"/>
  <c r="AN24"/>
  <c r="W24"/>
  <c r="X18" s="1"/>
  <c r="D47"/>
  <c r="E47"/>
  <c r="F47"/>
  <c r="G47"/>
  <c r="H47"/>
  <c r="I47"/>
  <c r="N42" s="1"/>
  <c r="J47"/>
  <c r="K47"/>
  <c r="L47"/>
  <c r="M47"/>
  <c r="N47"/>
  <c r="P47"/>
  <c r="Q47"/>
  <c r="R47"/>
  <c r="S47"/>
  <c r="T47"/>
  <c r="C35"/>
  <c r="E29" s="1"/>
  <c r="O35"/>
  <c r="P29" s="1"/>
  <c r="D34"/>
  <c r="I24"/>
  <c r="K18" s="1"/>
  <c r="O24"/>
  <c r="P18" s="1"/>
  <c r="D35"/>
  <c r="E35"/>
  <c r="F35"/>
  <c r="G35"/>
  <c r="H35"/>
  <c r="J35"/>
  <c r="K35"/>
  <c r="L35"/>
  <c r="M35"/>
  <c r="N35"/>
  <c r="P35"/>
  <c r="Q35"/>
  <c r="R35"/>
  <c r="S35"/>
  <c r="T35"/>
  <c r="F6"/>
  <c r="F54" s="1"/>
  <c r="K6"/>
  <c r="K54" s="1"/>
  <c r="L6"/>
  <c r="L54" s="1"/>
  <c r="O6"/>
  <c r="O54" s="1"/>
  <c r="P6"/>
  <c r="P54" s="1"/>
  <c r="Q6"/>
  <c r="Q54" s="1"/>
  <c r="R6"/>
  <c r="R54" s="1"/>
  <c r="S6"/>
  <c r="S54" s="1"/>
  <c r="T6"/>
  <c r="T54" s="1"/>
  <c r="D7"/>
  <c r="D55" s="1"/>
  <c r="E7"/>
  <c r="E55" s="1"/>
  <c r="F7"/>
  <c r="F55" s="1"/>
  <c r="H7"/>
  <c r="H55" s="1"/>
  <c r="J7"/>
  <c r="J55" s="1"/>
  <c r="K7"/>
  <c r="K55" s="1"/>
  <c r="M7"/>
  <c r="M55" s="1"/>
  <c r="P7"/>
  <c r="P55" s="1"/>
  <c r="Q55"/>
  <c r="R7"/>
  <c r="R55" s="1"/>
  <c r="S7"/>
  <c r="S55" s="1"/>
  <c r="D8"/>
  <c r="D56" s="1"/>
  <c r="F8"/>
  <c r="F56" s="1"/>
  <c r="G8"/>
  <c r="G56" s="1"/>
  <c r="I8"/>
  <c r="I56" s="1"/>
  <c r="J8"/>
  <c r="J56" s="1"/>
  <c r="K8"/>
  <c r="K56" s="1"/>
  <c r="L8"/>
  <c r="L56" s="1"/>
  <c r="M8"/>
  <c r="M56" s="1"/>
  <c r="N8"/>
  <c r="N56" s="1"/>
  <c r="O8"/>
  <c r="O56" s="1"/>
  <c r="P8"/>
  <c r="P56" s="1"/>
  <c r="Q8"/>
  <c r="Q56" s="1"/>
  <c r="R8"/>
  <c r="R56" s="1"/>
  <c r="S8"/>
  <c r="S56" s="1"/>
  <c r="T8"/>
  <c r="T56" s="1"/>
  <c r="D9"/>
  <c r="D57" s="1"/>
  <c r="J9"/>
  <c r="J57" s="1"/>
  <c r="K9"/>
  <c r="K57" s="1"/>
  <c r="L9"/>
  <c r="L57" s="1"/>
  <c r="M9"/>
  <c r="M57" s="1"/>
  <c r="O9"/>
  <c r="O57" s="1"/>
  <c r="P9"/>
  <c r="P57" s="1"/>
  <c r="Q9"/>
  <c r="Q57" s="1"/>
  <c r="R9"/>
  <c r="R57" s="1"/>
  <c r="S9"/>
  <c r="S57" s="1"/>
  <c r="T9"/>
  <c r="T57" s="1"/>
  <c r="F10"/>
  <c r="F58" s="1"/>
  <c r="L10"/>
  <c r="L58" s="1"/>
  <c r="M10"/>
  <c r="M58" s="1"/>
  <c r="O10"/>
  <c r="O58" s="1"/>
  <c r="P10"/>
  <c r="P58" s="1"/>
  <c r="Q10"/>
  <c r="Q58" s="1"/>
  <c r="R10"/>
  <c r="R58" s="1"/>
  <c r="S10"/>
  <c r="S58" s="1"/>
  <c r="T10"/>
  <c r="T58" s="1"/>
  <c r="D11"/>
  <c r="E11"/>
  <c r="F11"/>
  <c r="J11"/>
  <c r="K11"/>
  <c r="L11"/>
  <c r="M11"/>
  <c r="O11"/>
  <c r="P11"/>
  <c r="Q11"/>
  <c r="R11"/>
  <c r="S11"/>
  <c r="T11"/>
  <c r="H11" i="16"/>
  <c r="F11"/>
  <c r="C11"/>
  <c r="Q10"/>
  <c r="T10"/>
  <c r="R10"/>
  <c r="P10"/>
  <c r="J10"/>
  <c r="I10"/>
  <c r="N10"/>
  <c r="H10"/>
  <c r="F10"/>
  <c r="G10"/>
  <c r="D10"/>
  <c r="C10"/>
  <c r="H9"/>
  <c r="F9"/>
  <c r="C9"/>
  <c r="F8"/>
  <c r="C8"/>
  <c r="N7"/>
  <c r="O6"/>
  <c r="N6"/>
  <c r="M6"/>
  <c r="F6"/>
  <c r="D6"/>
  <c r="C6"/>
  <c r="E6"/>
  <c r="H6"/>
  <c r="P12"/>
  <c r="T12" s="1"/>
  <c r="J12"/>
  <c r="N12" s="1"/>
  <c r="H12"/>
  <c r="C11" i="15"/>
  <c r="H11"/>
  <c r="I10"/>
  <c r="J10"/>
  <c r="L10"/>
  <c r="N10"/>
  <c r="O9"/>
  <c r="T9"/>
  <c r="N9"/>
  <c r="I9"/>
  <c r="K9"/>
  <c r="M9"/>
  <c r="G9"/>
  <c r="C9"/>
  <c r="H9"/>
  <c r="E9"/>
  <c r="F9"/>
  <c r="I8"/>
  <c r="L8"/>
  <c r="N8"/>
  <c r="H8"/>
  <c r="E8"/>
  <c r="C8"/>
  <c r="F8"/>
  <c r="O7"/>
  <c r="I7"/>
  <c r="N7"/>
  <c r="L7"/>
  <c r="M7"/>
  <c r="G7"/>
  <c r="C7"/>
  <c r="N6"/>
  <c r="I6"/>
  <c r="J6"/>
  <c r="D6"/>
  <c r="E6"/>
  <c r="H6"/>
  <c r="C6"/>
  <c r="P12"/>
  <c r="T12" s="1"/>
  <c r="J12"/>
  <c r="H12"/>
  <c r="N11" i="14"/>
  <c r="I11"/>
  <c r="G11"/>
  <c r="C11"/>
  <c r="H11"/>
  <c r="R10"/>
  <c r="T10"/>
  <c r="I10"/>
  <c r="J10"/>
  <c r="K10"/>
  <c r="N10"/>
  <c r="E10"/>
  <c r="H10"/>
  <c r="F10"/>
  <c r="C10"/>
  <c r="F9"/>
  <c r="E9"/>
  <c r="H9"/>
  <c r="C9"/>
  <c r="G8"/>
  <c r="C8"/>
  <c r="O7"/>
  <c r="R7"/>
  <c r="T7"/>
  <c r="L7"/>
  <c r="I7"/>
  <c r="N7"/>
  <c r="F7"/>
  <c r="H7"/>
  <c r="C7"/>
  <c r="I6"/>
  <c r="J6"/>
  <c r="N6"/>
  <c r="L6"/>
  <c r="H6"/>
  <c r="D6"/>
  <c r="E6"/>
  <c r="F6"/>
  <c r="C6"/>
  <c r="N12"/>
  <c r="J12"/>
  <c r="H12"/>
  <c r="P12" i="13"/>
  <c r="T12" s="1"/>
  <c r="T57" s="1"/>
  <c r="T71" i="10" s="1"/>
  <c r="J12" i="13"/>
  <c r="H12"/>
  <c r="F57" s="1"/>
  <c r="F71" i="10" s="1"/>
  <c r="K11" i="12"/>
  <c r="N11"/>
  <c r="I11"/>
  <c r="G11"/>
  <c r="C11"/>
  <c r="H11"/>
  <c r="O10"/>
  <c r="I10"/>
  <c r="J10"/>
  <c r="K10"/>
  <c r="N10"/>
  <c r="H10"/>
  <c r="D10"/>
  <c r="C10"/>
  <c r="H9"/>
  <c r="G9"/>
  <c r="F9"/>
  <c r="E9"/>
  <c r="C9"/>
  <c r="R8"/>
  <c r="T8"/>
  <c r="O8"/>
  <c r="I8"/>
  <c r="N8"/>
  <c r="K8"/>
  <c r="Q7"/>
  <c r="T7"/>
  <c r="M7"/>
  <c r="N7"/>
  <c r="I7"/>
  <c r="I6"/>
  <c r="J6"/>
  <c r="K6"/>
  <c r="N6"/>
  <c r="F6"/>
  <c r="D6"/>
  <c r="G6"/>
  <c r="C6"/>
  <c r="H6"/>
  <c r="P12"/>
  <c r="T12" s="1"/>
  <c r="J12"/>
  <c r="N12" s="1"/>
  <c r="H12"/>
  <c r="G11" i="11"/>
  <c r="C11"/>
  <c r="H11"/>
  <c r="I10"/>
  <c r="M10"/>
  <c r="J10"/>
  <c r="D10"/>
  <c r="G10"/>
  <c r="C10"/>
  <c r="T9"/>
  <c r="R9"/>
  <c r="N9"/>
  <c r="L9"/>
  <c r="M9"/>
  <c r="G9"/>
  <c r="F9"/>
  <c r="E9"/>
  <c r="H9"/>
  <c r="C9"/>
  <c r="O8"/>
  <c r="S8"/>
  <c r="M8"/>
  <c r="I8"/>
  <c r="S7"/>
  <c r="O7"/>
  <c r="I7"/>
  <c r="C7"/>
  <c r="G7"/>
  <c r="N6"/>
  <c r="J6"/>
  <c r="I6"/>
  <c r="M6"/>
  <c r="K6"/>
  <c r="H6"/>
  <c r="C6"/>
  <c r="L12"/>
  <c r="K11" i="2"/>
  <c r="N11"/>
  <c r="I11"/>
  <c r="G11"/>
  <c r="C11"/>
  <c r="H11"/>
  <c r="L12" i="1"/>
  <c r="P12" s="1"/>
  <c r="T12" s="1"/>
  <c r="J12"/>
  <c r="N12" s="1"/>
  <c r="H12"/>
  <c r="N12" i="11"/>
  <c r="J12"/>
  <c r="H12"/>
  <c r="L12" i="2"/>
  <c r="P12" s="1"/>
  <c r="J12"/>
  <c r="H12"/>
  <c r="F9" s="1"/>
  <c r="D6"/>
  <c r="H6" i="13" l="1"/>
  <c r="D6"/>
  <c r="G6"/>
  <c r="C7"/>
  <c r="Q7"/>
  <c r="E8"/>
  <c r="H8"/>
  <c r="H9"/>
  <c r="F9"/>
  <c r="C10"/>
  <c r="G10"/>
  <c r="E10"/>
  <c r="O52"/>
  <c r="O66" i="10" s="1"/>
  <c r="Q52" i="13"/>
  <c r="Q66" i="10" s="1"/>
  <c r="S52" i="13"/>
  <c r="S66" i="10" s="1"/>
  <c r="E53" i="13"/>
  <c r="E67" i="10" s="1"/>
  <c r="Q53" i="13"/>
  <c r="Q67" i="10" s="1"/>
  <c r="S53" i="13"/>
  <c r="S67" i="10" s="1"/>
  <c r="G54" i="13"/>
  <c r="G68" i="10" s="1"/>
  <c r="O54" i="13"/>
  <c r="O68" i="10" s="1"/>
  <c r="Q54" i="13"/>
  <c r="Q68" i="10" s="1"/>
  <c r="S54" i="13"/>
  <c r="S68" i="10" s="1"/>
  <c r="O55" i="13"/>
  <c r="O69" i="10" s="1"/>
  <c r="Q55" i="13"/>
  <c r="Q69" i="10" s="1"/>
  <c r="S55" i="13"/>
  <c r="S69" i="10" s="1"/>
  <c r="O56" i="13"/>
  <c r="O70" i="10" s="1"/>
  <c r="Q56" i="13"/>
  <c r="Q70" i="10" s="1"/>
  <c r="S56" i="13"/>
  <c r="S70" i="10" s="1"/>
  <c r="E57" i="13"/>
  <c r="E71" i="10" s="1"/>
  <c r="O57" i="13"/>
  <c r="O71" i="10" s="1"/>
  <c r="Q57" i="13"/>
  <c r="Q71" i="10" s="1"/>
  <c r="S57" i="13"/>
  <c r="S71" i="10" s="1"/>
  <c r="O47"/>
  <c r="P41" s="1"/>
  <c r="C6" i="13"/>
  <c r="E6"/>
  <c r="G7"/>
  <c r="T7"/>
  <c r="C8"/>
  <c r="C9"/>
  <c r="E9"/>
  <c r="G9"/>
  <c r="H10"/>
  <c r="D10"/>
  <c r="F52"/>
  <c r="F66" i="10" s="1"/>
  <c r="P52" i="13"/>
  <c r="P66" i="10" s="1"/>
  <c r="R52" i="13"/>
  <c r="R66" i="10" s="1"/>
  <c r="T52" i="13"/>
  <c r="T66" i="10" s="1"/>
  <c r="D53" i="13"/>
  <c r="D67" i="10" s="1"/>
  <c r="F53" i="13"/>
  <c r="F67" i="10" s="1"/>
  <c r="H53" i="13"/>
  <c r="H67" i="10" s="1"/>
  <c r="P53" i="13"/>
  <c r="P67" i="10" s="1"/>
  <c r="R53" i="13"/>
  <c r="R67" i="10" s="1"/>
  <c r="D54" i="13"/>
  <c r="D68" i="10" s="1"/>
  <c r="F54" i="13"/>
  <c r="F68" i="10" s="1"/>
  <c r="P54" i="13"/>
  <c r="P68" i="10" s="1"/>
  <c r="R54" i="13"/>
  <c r="R68" i="10" s="1"/>
  <c r="T54" i="13"/>
  <c r="T68" i="10" s="1"/>
  <c r="D55" i="13"/>
  <c r="D69" i="10" s="1"/>
  <c r="P55" i="13"/>
  <c r="P69" i="10" s="1"/>
  <c r="R55" i="13"/>
  <c r="R69" i="10" s="1"/>
  <c r="T55" i="13"/>
  <c r="T69" i="10" s="1"/>
  <c r="F56" i="13"/>
  <c r="F70" i="10" s="1"/>
  <c r="P56" i="13"/>
  <c r="P70" i="10" s="1"/>
  <c r="R56" i="13"/>
  <c r="R70" i="10" s="1"/>
  <c r="T56" i="13"/>
  <c r="T70" i="10" s="1"/>
  <c r="D57" i="13"/>
  <c r="D71" i="10" s="1"/>
  <c r="P57" i="13"/>
  <c r="P71" i="10" s="1"/>
  <c r="R57" i="13"/>
  <c r="R71" i="10" s="1"/>
  <c r="AH46"/>
  <c r="AH44"/>
  <c r="AH42"/>
  <c r="AI46"/>
  <c r="AI44"/>
  <c r="AI42"/>
  <c r="AM46"/>
  <c r="AK46"/>
  <c r="AN45"/>
  <c r="AL45"/>
  <c r="AJ45"/>
  <c r="AM44"/>
  <c r="AK44"/>
  <c r="AN43"/>
  <c r="AL43"/>
  <c r="AJ43"/>
  <c r="AM42"/>
  <c r="AK42"/>
  <c r="AN41"/>
  <c r="AL41"/>
  <c r="AJ41"/>
  <c r="AH45"/>
  <c r="AH43"/>
  <c r="AI41"/>
  <c r="AI45"/>
  <c r="AI43"/>
  <c r="AN46"/>
  <c r="AL46"/>
  <c r="AJ46"/>
  <c r="AM45"/>
  <c r="AK45"/>
  <c r="AN44"/>
  <c r="AL44"/>
  <c r="AJ44"/>
  <c r="AM43"/>
  <c r="AK43"/>
  <c r="AN42"/>
  <c r="AL42"/>
  <c r="AJ42"/>
  <c r="AM41"/>
  <c r="O32"/>
  <c r="C32"/>
  <c r="F32"/>
  <c r="H34"/>
  <c r="E33"/>
  <c r="G31"/>
  <c r="S34"/>
  <c r="W35"/>
  <c r="X29" s="1"/>
  <c r="O34"/>
  <c r="O30"/>
  <c r="Q34"/>
  <c r="C29"/>
  <c r="C30"/>
  <c r="F34"/>
  <c r="G33"/>
  <c r="H32"/>
  <c r="D32"/>
  <c r="D31"/>
  <c r="S33"/>
  <c r="O29"/>
  <c r="O33"/>
  <c r="O31"/>
  <c r="T34"/>
  <c r="R34"/>
  <c r="P34"/>
  <c r="Q33"/>
  <c r="C33"/>
  <c r="C31"/>
  <c r="C34"/>
  <c r="G34"/>
  <c r="E34"/>
  <c r="H33"/>
  <c r="F33"/>
  <c r="D33"/>
  <c r="G32"/>
  <c r="E32"/>
  <c r="H31"/>
  <c r="F31"/>
  <c r="E30"/>
  <c r="E31"/>
  <c r="H30"/>
  <c r="F29"/>
  <c r="G30"/>
  <c r="H29"/>
  <c r="D29"/>
  <c r="T32"/>
  <c r="R32"/>
  <c r="S31"/>
  <c r="F30"/>
  <c r="D30"/>
  <c r="G29"/>
  <c r="T33"/>
  <c r="R33"/>
  <c r="P33"/>
  <c r="S32"/>
  <c r="P32"/>
  <c r="Q31"/>
  <c r="R30"/>
  <c r="J29"/>
  <c r="J30"/>
  <c r="L30"/>
  <c r="N30"/>
  <c r="K31"/>
  <c r="M31"/>
  <c r="J32"/>
  <c r="L32"/>
  <c r="N32"/>
  <c r="K33"/>
  <c r="M33"/>
  <c r="J34"/>
  <c r="L34"/>
  <c r="N34"/>
  <c r="I31"/>
  <c r="I33"/>
  <c r="I29"/>
  <c r="N29"/>
  <c r="K30"/>
  <c r="M30"/>
  <c r="J31"/>
  <c r="L31"/>
  <c r="N31"/>
  <c r="K32"/>
  <c r="M32"/>
  <c r="J33"/>
  <c r="L33"/>
  <c r="N33"/>
  <c r="K34"/>
  <c r="M34"/>
  <c r="I30"/>
  <c r="I32"/>
  <c r="I34"/>
  <c r="K29"/>
  <c r="S29"/>
  <c r="M29"/>
  <c r="W41"/>
  <c r="W45"/>
  <c r="W43"/>
  <c r="AB46"/>
  <c r="Z46"/>
  <c r="X46"/>
  <c r="AA45"/>
  <c r="Y45"/>
  <c r="AB44"/>
  <c r="Z44"/>
  <c r="X44"/>
  <c r="AA43"/>
  <c r="Y43"/>
  <c r="AB42"/>
  <c r="Z42"/>
  <c r="X42"/>
  <c r="AA41"/>
  <c r="Y41"/>
  <c r="W46"/>
  <c r="W44"/>
  <c r="W42"/>
  <c r="AA46"/>
  <c r="Y46"/>
  <c r="AB45"/>
  <c r="Z45"/>
  <c r="X45"/>
  <c r="AA44"/>
  <c r="Y44"/>
  <c r="AB43"/>
  <c r="Z43"/>
  <c r="X43"/>
  <c r="AA42"/>
  <c r="Y42"/>
  <c r="AB41"/>
  <c r="Z41"/>
  <c r="AC34"/>
  <c r="AC32"/>
  <c r="AC30"/>
  <c r="AG34"/>
  <c r="AE34"/>
  <c r="AH33"/>
  <c r="AF33"/>
  <c r="AD33"/>
  <c r="AG32"/>
  <c r="AE32"/>
  <c r="AH31"/>
  <c r="AF31"/>
  <c r="AD31"/>
  <c r="AG30"/>
  <c r="AE30"/>
  <c r="AH29"/>
  <c r="AF29"/>
  <c r="AD29"/>
  <c r="AC29"/>
  <c r="AC33"/>
  <c r="AC31"/>
  <c r="AH34"/>
  <c r="AF34"/>
  <c r="AD34"/>
  <c r="AG33"/>
  <c r="AE33"/>
  <c r="AH32"/>
  <c r="AF32"/>
  <c r="AD32"/>
  <c r="AG31"/>
  <c r="AE31"/>
  <c r="AH30"/>
  <c r="AF30"/>
  <c r="AD30"/>
  <c r="AG29"/>
  <c r="W18"/>
  <c r="W22"/>
  <c r="W20"/>
  <c r="AB23"/>
  <c r="Z23"/>
  <c r="X23"/>
  <c r="AA22"/>
  <c r="Y22"/>
  <c r="AB21"/>
  <c r="Z21"/>
  <c r="X21"/>
  <c r="AA20"/>
  <c r="Y20"/>
  <c r="AB19"/>
  <c r="Z19"/>
  <c r="X19"/>
  <c r="AA18"/>
  <c r="Y18"/>
  <c r="W23"/>
  <c r="W21"/>
  <c r="W19"/>
  <c r="AA23"/>
  <c r="Y23"/>
  <c r="AB22"/>
  <c r="Z22"/>
  <c r="X22"/>
  <c r="AA21"/>
  <c r="Y21"/>
  <c r="AB20"/>
  <c r="Z20"/>
  <c r="X20"/>
  <c r="AA19"/>
  <c r="Y19"/>
  <c r="AB18"/>
  <c r="Z18"/>
  <c r="C41"/>
  <c r="C45"/>
  <c r="C43"/>
  <c r="H46"/>
  <c r="F46"/>
  <c r="D46"/>
  <c r="G45"/>
  <c r="E45"/>
  <c r="H44"/>
  <c r="F44"/>
  <c r="D44"/>
  <c r="G43"/>
  <c r="E43"/>
  <c r="H42"/>
  <c r="F42"/>
  <c r="D42"/>
  <c r="G41"/>
  <c r="E41"/>
  <c r="C46"/>
  <c r="C44"/>
  <c r="C42"/>
  <c r="G46"/>
  <c r="E46"/>
  <c r="H45"/>
  <c r="F45"/>
  <c r="D45"/>
  <c r="G44"/>
  <c r="E44"/>
  <c r="H43"/>
  <c r="F43"/>
  <c r="D43"/>
  <c r="G42"/>
  <c r="E42"/>
  <c r="H41"/>
  <c r="F41"/>
  <c r="T30"/>
  <c r="P30"/>
  <c r="Q29"/>
  <c r="K20"/>
  <c r="I18"/>
  <c r="J19"/>
  <c r="C18"/>
  <c r="E18"/>
  <c r="D18"/>
  <c r="F18"/>
  <c r="H18"/>
  <c r="F19"/>
  <c r="H19"/>
  <c r="F20"/>
  <c r="H20"/>
  <c r="E21"/>
  <c r="H21"/>
  <c r="E22"/>
  <c r="H22"/>
  <c r="E23"/>
  <c r="G23"/>
  <c r="C20"/>
  <c r="C22"/>
  <c r="G18"/>
  <c r="E19"/>
  <c r="G19"/>
  <c r="D20"/>
  <c r="G20"/>
  <c r="D21"/>
  <c r="G21"/>
  <c r="D22"/>
  <c r="F22"/>
  <c r="D23"/>
  <c r="F23"/>
  <c r="C19"/>
  <c r="C21"/>
  <c r="C23"/>
  <c r="H23"/>
  <c r="F21"/>
  <c r="G22"/>
  <c r="D19"/>
  <c r="E20"/>
  <c r="L29"/>
  <c r="AI34"/>
  <c r="AI30"/>
  <c r="AK34"/>
  <c r="AL33"/>
  <c r="AM32"/>
  <c r="AN31"/>
  <c r="AJ31"/>
  <c r="AI32"/>
  <c r="AM34"/>
  <c r="AN33"/>
  <c r="AJ33"/>
  <c r="AK32"/>
  <c r="AL31"/>
  <c r="AM30"/>
  <c r="I46"/>
  <c r="I42"/>
  <c r="J46"/>
  <c r="J45"/>
  <c r="J44"/>
  <c r="J43"/>
  <c r="J42"/>
  <c r="J41"/>
  <c r="N43"/>
  <c r="I44"/>
  <c r="L46"/>
  <c r="L45"/>
  <c r="L44"/>
  <c r="L43"/>
  <c r="L42"/>
  <c r="L41"/>
  <c r="N45"/>
  <c r="N41"/>
  <c r="AK30"/>
  <c r="AN29"/>
  <c r="AL29"/>
  <c r="AJ29"/>
  <c r="AI29"/>
  <c r="AI33"/>
  <c r="AI31"/>
  <c r="AN34"/>
  <c r="AL34"/>
  <c r="AJ34"/>
  <c r="AM33"/>
  <c r="AK33"/>
  <c r="AN32"/>
  <c r="AL32"/>
  <c r="AJ32"/>
  <c r="AM31"/>
  <c r="AK31"/>
  <c r="AN30"/>
  <c r="AL30"/>
  <c r="AJ30"/>
  <c r="AM29"/>
  <c r="AC23"/>
  <c r="AC21"/>
  <c r="AC19"/>
  <c r="AG23"/>
  <c r="AE23"/>
  <c r="AH22"/>
  <c r="AF22"/>
  <c r="AD22"/>
  <c r="AG21"/>
  <c r="AE21"/>
  <c r="AH20"/>
  <c r="AF20"/>
  <c r="AD20"/>
  <c r="AG19"/>
  <c r="AE19"/>
  <c r="AH18"/>
  <c r="AF18"/>
  <c r="AD18"/>
  <c r="AC18"/>
  <c r="AC22"/>
  <c r="AC20"/>
  <c r="AH23"/>
  <c r="AF23"/>
  <c r="AD23"/>
  <c r="AG22"/>
  <c r="AE22"/>
  <c r="AH21"/>
  <c r="AF21"/>
  <c r="AD21"/>
  <c r="AG20"/>
  <c r="AE20"/>
  <c r="AH19"/>
  <c r="AF19"/>
  <c r="AD19"/>
  <c r="AG18"/>
  <c r="AI23"/>
  <c r="AI21"/>
  <c r="AI19"/>
  <c r="AM23"/>
  <c r="AK23"/>
  <c r="AN22"/>
  <c r="AL22"/>
  <c r="AJ22"/>
  <c r="AM21"/>
  <c r="AK21"/>
  <c r="AN20"/>
  <c r="AL20"/>
  <c r="AJ20"/>
  <c r="AM19"/>
  <c r="AK19"/>
  <c r="AN18"/>
  <c r="AL18"/>
  <c r="AJ18"/>
  <c r="AI18"/>
  <c r="AI22"/>
  <c r="AI20"/>
  <c r="AN23"/>
  <c r="AL23"/>
  <c r="AJ23"/>
  <c r="AM22"/>
  <c r="AK22"/>
  <c r="AN21"/>
  <c r="AL21"/>
  <c r="AJ21"/>
  <c r="AM20"/>
  <c r="AK20"/>
  <c r="AN19"/>
  <c r="AL19"/>
  <c r="AJ19"/>
  <c r="AM18"/>
  <c r="AC46"/>
  <c r="AC44"/>
  <c r="AC42"/>
  <c r="AG46"/>
  <c r="AE46"/>
  <c r="AF45"/>
  <c r="AD45"/>
  <c r="AG44"/>
  <c r="AE44"/>
  <c r="AF43"/>
  <c r="AD43"/>
  <c r="AG42"/>
  <c r="AE42"/>
  <c r="AH41"/>
  <c r="AF41"/>
  <c r="AD41"/>
  <c r="AC41"/>
  <c r="AC45"/>
  <c r="AC43"/>
  <c r="AF46"/>
  <c r="AD46"/>
  <c r="AG45"/>
  <c r="AE45"/>
  <c r="AF44"/>
  <c r="AD44"/>
  <c r="AG43"/>
  <c r="AE43"/>
  <c r="AF42"/>
  <c r="AD42"/>
  <c r="AG41"/>
  <c r="I41"/>
  <c r="I45"/>
  <c r="I43"/>
  <c r="M46"/>
  <c r="K46"/>
  <c r="M45"/>
  <c r="K45"/>
  <c r="M44"/>
  <c r="K44"/>
  <c r="M43"/>
  <c r="K43"/>
  <c r="M42"/>
  <c r="K42"/>
  <c r="M41"/>
  <c r="K41"/>
  <c r="N46"/>
  <c r="N44"/>
  <c r="O41"/>
  <c r="O45"/>
  <c r="O43"/>
  <c r="T46"/>
  <c r="R46"/>
  <c r="P46"/>
  <c r="S45"/>
  <c r="Q45"/>
  <c r="T44"/>
  <c r="R44"/>
  <c r="P44"/>
  <c r="S43"/>
  <c r="Q43"/>
  <c r="T42"/>
  <c r="R42"/>
  <c r="P42"/>
  <c r="S41"/>
  <c r="Q41"/>
  <c r="O46"/>
  <c r="O44"/>
  <c r="O42"/>
  <c r="S46"/>
  <c r="Q46"/>
  <c r="T45"/>
  <c r="R45"/>
  <c r="P45"/>
  <c r="S44"/>
  <c r="Q44"/>
  <c r="T43"/>
  <c r="R43"/>
  <c r="P43"/>
  <c r="S42"/>
  <c r="Q42"/>
  <c r="T41"/>
  <c r="R41"/>
  <c r="Q32"/>
  <c r="T31"/>
  <c r="R31"/>
  <c r="P31"/>
  <c r="S30"/>
  <c r="Q30"/>
  <c r="T29"/>
  <c r="R29"/>
  <c r="W29"/>
  <c r="W33"/>
  <c r="W31"/>
  <c r="AB34"/>
  <c r="Z34"/>
  <c r="X34"/>
  <c r="AA33"/>
  <c r="Y33"/>
  <c r="AB32"/>
  <c r="Z32"/>
  <c r="X32"/>
  <c r="AA31"/>
  <c r="Y31"/>
  <c r="AB30"/>
  <c r="Z30"/>
  <c r="X30"/>
  <c r="AA29"/>
  <c r="Y29"/>
  <c r="W34"/>
  <c r="W32"/>
  <c r="W30"/>
  <c r="AA34"/>
  <c r="Y34"/>
  <c r="AB33"/>
  <c r="Z33"/>
  <c r="X33"/>
  <c r="AA32"/>
  <c r="Y32"/>
  <c r="AB31"/>
  <c r="Z31"/>
  <c r="X31"/>
  <c r="AA30"/>
  <c r="Y30"/>
  <c r="AB29"/>
  <c r="Z29"/>
  <c r="O18"/>
  <c r="O22"/>
  <c r="O20"/>
  <c r="T23"/>
  <c r="R23"/>
  <c r="P23"/>
  <c r="S22"/>
  <c r="Q22"/>
  <c r="T21"/>
  <c r="R21"/>
  <c r="P21"/>
  <c r="S20"/>
  <c r="Q20"/>
  <c r="T19"/>
  <c r="R19"/>
  <c r="P19"/>
  <c r="S18"/>
  <c r="Q18"/>
  <c r="O23"/>
  <c r="O21"/>
  <c r="O19"/>
  <c r="S23"/>
  <c r="Q23"/>
  <c r="T22"/>
  <c r="R22"/>
  <c r="P22"/>
  <c r="S21"/>
  <c r="Q21"/>
  <c r="T20"/>
  <c r="R20"/>
  <c r="P20"/>
  <c r="S19"/>
  <c r="Q19"/>
  <c r="T18"/>
  <c r="R18"/>
  <c r="I23"/>
  <c r="I21"/>
  <c r="I19"/>
  <c r="M23"/>
  <c r="K23"/>
  <c r="N22"/>
  <c r="L22"/>
  <c r="J22"/>
  <c r="M21"/>
  <c r="K21"/>
  <c r="N20"/>
  <c r="L20"/>
  <c r="J20"/>
  <c r="M19"/>
  <c r="K19"/>
  <c r="N18"/>
  <c r="L18"/>
  <c r="J18"/>
  <c r="I22"/>
  <c r="I20"/>
  <c r="N23"/>
  <c r="L23"/>
  <c r="J23"/>
  <c r="M22"/>
  <c r="K22"/>
  <c r="N21"/>
  <c r="L21"/>
  <c r="J21"/>
  <c r="M20"/>
  <c r="N19"/>
  <c r="L19"/>
  <c r="M18"/>
  <c r="K6" i="16"/>
  <c r="I6"/>
  <c r="M7"/>
  <c r="I7"/>
  <c r="T6" i="15"/>
  <c r="Q7"/>
  <c r="O6"/>
  <c r="T7"/>
  <c r="N12"/>
  <c r="P12" i="14"/>
  <c r="T12" s="1"/>
  <c r="N12" i="13"/>
  <c r="J10" s="1"/>
  <c r="P12" i="11"/>
  <c r="C10" i="2"/>
  <c r="E10"/>
  <c r="F10"/>
  <c r="H10"/>
  <c r="D10"/>
  <c r="N10"/>
  <c r="C9"/>
  <c r="F6"/>
  <c r="C6"/>
  <c r="E6"/>
  <c r="H6"/>
  <c r="N12"/>
  <c r="G7"/>
  <c r="L7"/>
  <c r="F8"/>
  <c r="I8"/>
  <c r="H9"/>
  <c r="E9"/>
  <c r="C7"/>
  <c r="N7"/>
  <c r="C8"/>
  <c r="L8"/>
  <c r="T12"/>
  <c r="N6"/>
  <c r="J56" i="13" l="1"/>
  <c r="J70" i="10" s="1"/>
  <c r="J10"/>
  <c r="J58" s="1"/>
  <c r="G57" i="13"/>
  <c r="G71" i="10" s="1"/>
  <c r="G11"/>
  <c r="D56" i="13"/>
  <c r="D70" i="10" s="1"/>
  <c r="D10"/>
  <c r="D58" s="1"/>
  <c r="G55" i="13"/>
  <c r="G69" i="10" s="1"/>
  <c r="G9"/>
  <c r="G57" s="1"/>
  <c r="C55" i="13"/>
  <c r="C69" i="10" s="1"/>
  <c r="C9"/>
  <c r="C57" s="1"/>
  <c r="T53" i="13"/>
  <c r="T67" i="10" s="1"/>
  <c r="T7"/>
  <c r="T55" s="1"/>
  <c r="E6"/>
  <c r="E54" s="1"/>
  <c r="E52" i="13"/>
  <c r="E66" i="10" s="1"/>
  <c r="C57" i="13"/>
  <c r="C71" i="10" s="1"/>
  <c r="C11"/>
  <c r="G10"/>
  <c r="G58" s="1"/>
  <c r="G56" i="13"/>
  <c r="G70" i="10" s="1"/>
  <c r="H55" i="13"/>
  <c r="H69" i="10" s="1"/>
  <c r="H9"/>
  <c r="H57" s="1"/>
  <c r="E8"/>
  <c r="E56" s="1"/>
  <c r="E54" i="13"/>
  <c r="E68" i="10" s="1"/>
  <c r="C53" i="13"/>
  <c r="C67" i="10" s="1"/>
  <c r="C7"/>
  <c r="C55" s="1"/>
  <c r="D52" i="13"/>
  <c r="D66" i="10" s="1"/>
  <c r="D6"/>
  <c r="D54" s="1"/>
  <c r="I9" i="13"/>
  <c r="L57"/>
  <c r="L71" i="10" s="1"/>
  <c r="J57" i="13"/>
  <c r="J71" i="10" s="1"/>
  <c r="L56" i="13"/>
  <c r="L70" i="10" s="1"/>
  <c r="L55" i="13"/>
  <c r="L69" i="10" s="1"/>
  <c r="J55" i="13"/>
  <c r="J69" i="10" s="1"/>
  <c r="N54" i="13"/>
  <c r="N68" i="10" s="1"/>
  <c r="L54" i="13"/>
  <c r="L68" i="10" s="1"/>
  <c r="J54" i="13"/>
  <c r="J68" i="10" s="1"/>
  <c r="J53" i="13"/>
  <c r="J67" i="10" s="1"/>
  <c r="L52" i="13"/>
  <c r="L66" i="10" s="1"/>
  <c r="N11" i="13"/>
  <c r="K10"/>
  <c r="N9"/>
  <c r="I7"/>
  <c r="L7"/>
  <c r="N6"/>
  <c r="M6"/>
  <c r="M57"/>
  <c r="M71" i="10" s="1"/>
  <c r="K57" i="13"/>
  <c r="K71" i="10" s="1"/>
  <c r="M56" i="13"/>
  <c r="M70" i="10" s="1"/>
  <c r="M55" i="13"/>
  <c r="M69" i="10" s="1"/>
  <c r="K55" i="13"/>
  <c r="K69" i="10" s="1"/>
  <c r="M54" i="13"/>
  <c r="M68" i="10" s="1"/>
  <c r="K54" i="13"/>
  <c r="K68" i="10" s="1"/>
  <c r="I54" i="13"/>
  <c r="I68" i="10" s="1"/>
  <c r="M53" i="13"/>
  <c r="M67" i="10" s="1"/>
  <c r="K53" i="13"/>
  <c r="K67" i="10" s="1"/>
  <c r="K52" i="13"/>
  <c r="K66" i="10" s="1"/>
  <c r="N10" i="13"/>
  <c r="I10"/>
  <c r="N7"/>
  <c r="I6"/>
  <c r="J6"/>
  <c r="H57"/>
  <c r="H71" i="10" s="1"/>
  <c r="H11"/>
  <c r="H56" i="13"/>
  <c r="H70" i="10" s="1"/>
  <c r="H10"/>
  <c r="H58" s="1"/>
  <c r="E55" i="13"/>
  <c r="E69" i="10" s="1"/>
  <c r="E9"/>
  <c r="E57" s="1"/>
  <c r="C8"/>
  <c r="C56" s="1"/>
  <c r="C54" i="13"/>
  <c r="C68" i="10" s="1"/>
  <c r="G53" i="13"/>
  <c r="G67" i="10" s="1"/>
  <c r="G7"/>
  <c r="G55" s="1"/>
  <c r="C6"/>
  <c r="C54" s="1"/>
  <c r="C52" i="13"/>
  <c r="C66" i="10" s="1"/>
  <c r="E10"/>
  <c r="E58" s="1"/>
  <c r="E56" i="13"/>
  <c r="E70" i="10" s="1"/>
  <c r="C10"/>
  <c r="C58" s="1"/>
  <c r="C56" i="13"/>
  <c r="C70" i="10" s="1"/>
  <c r="F55" i="13"/>
  <c r="F69" i="10" s="1"/>
  <c r="F9"/>
  <c r="F57" s="1"/>
  <c r="H54" i="13"/>
  <c r="H68" i="10" s="1"/>
  <c r="H8"/>
  <c r="H56" s="1"/>
  <c r="O53" i="13"/>
  <c r="O67" i="10" s="1"/>
  <c r="O7"/>
  <c r="O55" s="1"/>
  <c r="G6"/>
  <c r="G54" s="1"/>
  <c r="G52" i="13"/>
  <c r="G66" i="10" s="1"/>
  <c r="H52" i="13"/>
  <c r="H66" i="10" s="1"/>
  <c r="H6"/>
  <c r="H54" s="1"/>
  <c r="I11" i="13"/>
  <c r="C36" i="10"/>
  <c r="I36"/>
  <c r="C25"/>
  <c r="O36"/>
  <c r="AI48"/>
  <c r="W48"/>
  <c r="AC36"/>
  <c r="W25"/>
  <c r="C48"/>
  <c r="AI36"/>
  <c r="AC25"/>
  <c r="AI25"/>
  <c r="AC48"/>
  <c r="I48"/>
  <c r="O48"/>
  <c r="W36"/>
  <c r="O25"/>
  <c r="I25"/>
  <c r="T12" i="11"/>
  <c r="M7" i="2"/>
  <c r="I10"/>
  <c r="O8"/>
  <c r="O10"/>
  <c r="J6"/>
  <c r="J10"/>
  <c r="P10"/>
  <c r="I6"/>
  <c r="Q8"/>
  <c r="R8"/>
  <c r="T8"/>
  <c r="O7"/>
  <c r="T7"/>
  <c r="T6"/>
  <c r="O6"/>
  <c r="P6"/>
  <c r="T59" i="10"/>
  <c r="R59"/>
  <c r="P59"/>
  <c r="L59"/>
  <c r="J59"/>
  <c r="H59"/>
  <c r="F59"/>
  <c r="D59"/>
  <c r="E59"/>
  <c r="G59"/>
  <c r="K59"/>
  <c r="M59"/>
  <c r="O59"/>
  <c r="S59"/>
  <c r="Q59"/>
  <c r="C59"/>
  <c r="I57" i="13" l="1"/>
  <c r="I11" i="10"/>
  <c r="I6"/>
  <c r="I54" s="1"/>
  <c r="I52" i="13"/>
  <c r="I66" i="10" s="1"/>
  <c r="I10"/>
  <c r="I58" s="1"/>
  <c r="I56" i="13"/>
  <c r="I70" i="10" s="1"/>
  <c r="N52" i="13"/>
  <c r="N66" i="10" s="1"/>
  <c r="N6"/>
  <c r="N54" s="1"/>
  <c r="I53" i="13"/>
  <c r="I67" i="10" s="1"/>
  <c r="I7"/>
  <c r="I55" s="1"/>
  <c r="K10"/>
  <c r="K58" s="1"/>
  <c r="K56" i="13"/>
  <c r="K70" i="10" s="1"/>
  <c r="I55" i="13"/>
  <c r="I69" i="10" s="1"/>
  <c r="I9"/>
  <c r="I57" s="1"/>
  <c r="J52" i="13"/>
  <c r="J66" i="10" s="1"/>
  <c r="J6"/>
  <c r="J54" s="1"/>
  <c r="N53" i="13"/>
  <c r="N67" i="10" s="1"/>
  <c r="N7"/>
  <c r="N55" s="1"/>
  <c r="N56" i="13"/>
  <c r="N70" i="10" s="1"/>
  <c r="N10"/>
  <c r="N58" s="1"/>
  <c r="M6"/>
  <c r="M54" s="1"/>
  <c r="M52" i="13"/>
  <c r="M66" i="10" s="1"/>
  <c r="L53" i="13"/>
  <c r="L67" i="10" s="1"/>
  <c r="L7"/>
  <c r="L55" s="1"/>
  <c r="N55" i="13"/>
  <c r="N69" i="10" s="1"/>
  <c r="N9"/>
  <c r="N57" s="1"/>
  <c r="N57" i="13"/>
  <c r="N11" i="10"/>
  <c r="N71" l="1"/>
  <c r="N59"/>
  <c r="I71"/>
  <c r="I59"/>
</calcChain>
</file>

<file path=xl/comments1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</commentList>
</comments>
</file>

<file path=xl/comments2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3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4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5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6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7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comments8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51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  <comment ref="C54" authorId="0">
      <text>
        <r>
          <rPr>
            <b/>
            <sz val="8"/>
            <color indexed="81"/>
            <rFont val="Tahoma"/>
            <family val="2"/>
          </rPr>
          <t>Largest probability in the group. The second one is AL which is half the magnitude of FX. Similar for Fz axis.</t>
        </r>
      </text>
    </comment>
    <comment ref="C62" authorId="0">
      <text>
        <r>
          <rPr>
            <b/>
            <sz val="8"/>
            <color indexed="81"/>
            <rFont val="Tahoma"/>
            <charset val="1"/>
          </rPr>
          <t>Note: For this problem we are using the complete population and for that reason we must use VARP as the variance function</t>
        </r>
      </text>
    </comment>
  </commentList>
</comments>
</file>

<file path=xl/comments9.xml><?xml version="1.0" encoding="utf-8"?>
<comments xmlns="http://schemas.openxmlformats.org/spreadsheetml/2006/main">
  <authors>
    <author>Juan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15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26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W38" authorId="0">
      <text>
        <r>
          <rPr>
            <b/>
            <sz val="8"/>
            <color indexed="81"/>
            <rFont val="Tahoma"/>
            <family val="2"/>
          </rPr>
          <t>Count how many transitions from state to another. 
At the end divide by the total number of transitions in one state of the automata</t>
        </r>
      </text>
    </comment>
    <comment ref="C49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  <comment ref="C60" authorId="0">
      <text>
        <r>
          <rPr>
            <b/>
            <sz val="8"/>
            <color indexed="81"/>
            <rFont val="Tahoma"/>
            <family val="2"/>
          </rPr>
          <t>Juan:</t>
        </r>
        <r>
          <rPr>
            <sz val="8"/>
            <color indexed="81"/>
            <rFont val="Tahoma"/>
            <family val="2"/>
          </rPr>
          <t xml:space="preserve">
Look at table 1, and copy the value assigned for the LLB of choice</t>
        </r>
      </text>
    </comment>
  </commentList>
</comments>
</file>

<file path=xl/sharedStrings.xml><?xml version="1.0" encoding="utf-8"?>
<sst xmlns="http://schemas.openxmlformats.org/spreadsheetml/2006/main" count="2295" uniqueCount="44">
  <si>
    <t>Fx</t>
  </si>
  <si>
    <t>Fy</t>
  </si>
  <si>
    <t>Fz</t>
  </si>
  <si>
    <t>Mx</t>
  </si>
  <si>
    <t>My</t>
  </si>
  <si>
    <t>Mz</t>
  </si>
  <si>
    <t>Snap</t>
  </si>
  <si>
    <t>FX</t>
  </si>
  <si>
    <t>CT</t>
  </si>
  <si>
    <t>PS</t>
  </si>
  <si>
    <t>PL</t>
  </si>
  <si>
    <t>SH</t>
  </si>
  <si>
    <t>AL</t>
  </si>
  <si>
    <t xml:space="preserve">Experiment Name: </t>
  </si>
  <si>
    <t>20120426-1732-SideApproach-S</t>
  </si>
  <si>
    <t>ROT</t>
  </si>
  <si>
    <t>Initial Prior Probability</t>
  </si>
  <si>
    <t>MAT</t>
  </si>
  <si>
    <t xml:space="preserve">NA </t>
  </si>
  <si>
    <t>NA</t>
  </si>
  <si>
    <t>System Model - Transitions per state</t>
  </si>
  <si>
    <t>Duration</t>
  </si>
  <si>
    <t>Notes</t>
  </si>
  <si>
    <t>Start</t>
  </si>
  <si>
    <t>End</t>
  </si>
  <si>
    <t>FY</t>
  </si>
  <si>
    <t>Trans</t>
  </si>
  <si>
    <t>FZ</t>
  </si>
  <si>
    <t>MX</t>
  </si>
  <si>
    <t>MZ</t>
  </si>
  <si>
    <t>MY</t>
  </si>
  <si>
    <t>Note: For the system model, if the state at time t is the same as in t-1, the prob. Of that transition is implicitly equal to 1, else the table below sets those values.</t>
  </si>
  <si>
    <t>20120426-1800-SideApproach-S</t>
  </si>
  <si>
    <t>20120426-1905-SideApproach-S</t>
  </si>
  <si>
    <t>20120426-1923-SideApproach-S</t>
  </si>
  <si>
    <t>20120427-1122-SideApproach-S</t>
  </si>
  <si>
    <t>20120427-1416-SideApproach-S</t>
  </si>
  <si>
    <t>U(Al,FX)</t>
  </si>
  <si>
    <t>Summary of 7  trials for training data</t>
  </si>
  <si>
    <t>Covariance</t>
  </si>
  <si>
    <t xml:space="preserve">PS </t>
  </si>
  <si>
    <t>Variance</t>
  </si>
  <si>
    <t>Duration in Seconds</t>
  </si>
  <si>
    <t>Note: For the system model, if the state at time t is the same as in t-1, the prob. Of that transition is implicitly equal to 1, else the table below sets those values. That is done in matlab. Keep the values at zero here.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</si>
</sst>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0" borderId="0" xfId="0" applyNumberForma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164" fontId="0" fillId="4" borderId="11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2" borderId="18" xfId="0" applyNumberFormat="1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0" borderId="9" xfId="0" applyNumberFormat="1" applyFon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164" fontId="4" fillId="2" borderId="18" xfId="0" applyNumberFormat="1" applyFont="1" applyFill="1" applyBorder="1" applyAlignment="1">
      <alignment horizontal="center" vertical="center"/>
    </xf>
    <xf numFmtId="164" fontId="4" fillId="2" borderId="18" xfId="0" applyNumberFormat="1" applyFont="1" applyFill="1" applyBorder="1" applyAlignment="1">
      <alignment horizontal="left" vertical="center"/>
    </xf>
    <xf numFmtId="164" fontId="1" fillId="6" borderId="0" xfId="0" applyNumberFormat="1" applyFont="1" applyFill="1" applyAlignment="1">
      <alignment horizontal="left" vertical="center"/>
    </xf>
    <xf numFmtId="164" fontId="1" fillId="6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4" fontId="2" fillId="6" borderId="0" xfId="0" applyNumberFormat="1" applyFont="1" applyFill="1" applyAlignment="1">
      <alignment horizontal="left" vertical="center"/>
    </xf>
    <xf numFmtId="164" fontId="2" fillId="6" borderId="0" xfId="0" applyNumberFormat="1" applyFont="1" applyFill="1" applyAlignment="1">
      <alignment horizontal="center" vertical="center"/>
    </xf>
    <xf numFmtId="164" fontId="4" fillId="6" borderId="0" xfId="0" applyNumberFormat="1" applyFont="1" applyFill="1" applyAlignment="1">
      <alignment horizontal="left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15" xfId="0" applyNumberFormat="1" applyFill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0" fillId="0" borderId="22" xfId="0" applyNumberFormat="1" applyFill="1" applyBorder="1" applyAlignment="1">
      <alignment horizontal="center" vertical="center"/>
    </xf>
    <xf numFmtId="164" fontId="0" fillId="0" borderId="16" xfId="0" applyNumberForma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 vertical="center"/>
    </xf>
    <xf numFmtId="164" fontId="0" fillId="0" borderId="24" xfId="0" applyNumberFormat="1" applyFill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/>
    </xf>
    <xf numFmtId="164" fontId="0" fillId="0" borderId="26" xfId="0" applyNumberFormat="1" applyFill="1" applyBorder="1" applyAlignment="1">
      <alignment horizontal="center" vertical="center"/>
    </xf>
    <xf numFmtId="164" fontId="0" fillId="0" borderId="27" xfId="0" applyNumberFormat="1" applyFill="1" applyBorder="1" applyAlignment="1">
      <alignment horizontal="center" vertical="center"/>
    </xf>
    <xf numFmtId="164" fontId="0" fillId="0" borderId="28" xfId="0" applyNumberFormat="1" applyFill="1" applyBorder="1" applyAlignment="1">
      <alignment horizontal="center" vertical="center"/>
    </xf>
    <xf numFmtId="164" fontId="0" fillId="0" borderId="17" xfId="0" applyNumberFormat="1" applyFill="1" applyBorder="1" applyAlignment="1">
      <alignment horizontal="center" vertical="center"/>
    </xf>
    <xf numFmtId="164" fontId="0" fillId="0" borderId="29" xfId="0" applyNumberFormat="1" applyFill="1" applyBorder="1" applyAlignment="1">
      <alignment horizontal="center" vertical="center"/>
    </xf>
    <xf numFmtId="164" fontId="0" fillId="0" borderId="30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164" fontId="0" fillId="0" borderId="4" xfId="0" applyNumberFormat="1" applyFill="1" applyBorder="1" applyAlignment="1">
      <alignment horizontal="center" vertical="center"/>
    </xf>
    <xf numFmtId="164" fontId="0" fillId="0" borderId="5" xfId="0" applyNumberFormat="1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164" fontId="0" fillId="0" borderId="7" xfId="0" applyNumberFormat="1" applyFill="1" applyBorder="1" applyAlignment="1">
      <alignment horizontal="center" vertical="center"/>
    </xf>
    <xf numFmtId="164" fontId="0" fillId="0" borderId="8" xfId="0" applyNumberForma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3" fillId="5" borderId="12" xfId="0" applyNumberFormat="1" applyFont="1" applyFill="1" applyBorder="1" applyAlignment="1">
      <alignment horizontal="center" vertical="center"/>
    </xf>
    <xf numFmtId="164" fontId="3" fillId="5" borderId="13" xfId="0" applyNumberFormat="1" applyFont="1" applyFill="1" applyBorder="1" applyAlignment="1">
      <alignment horizontal="center" vertical="center"/>
    </xf>
    <xf numFmtId="164" fontId="3" fillId="5" borderId="14" xfId="0" applyNumberFormat="1" applyFont="1" applyFill="1" applyBorder="1" applyAlignment="1">
      <alignment horizontal="center" vertical="center"/>
    </xf>
    <xf numFmtId="164" fontId="1" fillId="5" borderId="9" xfId="0" applyNumberFormat="1" applyFont="1" applyFill="1" applyBorder="1" applyAlignment="1">
      <alignment horizontal="center" vertical="center"/>
    </xf>
    <xf numFmtId="164" fontId="1" fillId="5" borderId="10" xfId="0" applyNumberFormat="1" applyFont="1" applyFill="1" applyBorder="1" applyAlignment="1">
      <alignment horizontal="center" vertical="center"/>
    </xf>
    <xf numFmtId="164" fontId="1" fillId="5" borderId="11" xfId="0" applyNumberFormat="1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0" fillId="2" borderId="11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3" borderId="10" xfId="0" applyNumberFormat="1" applyFill="1" applyBorder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164" fontId="0" fillId="6" borderId="0" xfId="0" applyNumberFormat="1" applyFill="1" applyAlignment="1">
      <alignment horizontal="left" vertical="center"/>
    </xf>
    <xf numFmtId="164" fontId="1" fillId="3" borderId="9" xfId="0" applyNumberFormat="1" applyFont="1" applyFill="1" applyBorder="1" applyAlignment="1">
      <alignment horizontal="center" vertical="center"/>
    </xf>
    <xf numFmtId="164" fontId="1" fillId="3" borderId="10" xfId="0" applyNumberFormat="1" applyFont="1" applyFill="1" applyBorder="1" applyAlignment="1">
      <alignment horizontal="center" vertical="center"/>
    </xf>
    <xf numFmtId="164" fontId="1" fillId="3" borderId="1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58"/>
  <sheetViews>
    <sheetView zoomScale="50" zoomScaleNormal="50" workbookViewId="0">
      <selection activeCell="C52" sqref="C52"/>
    </sheetView>
  </sheetViews>
  <sheetFormatPr defaultRowHeight="15"/>
  <cols>
    <col min="1" max="8" width="9.140625" style="1"/>
    <col min="9" max="9" width="10.5703125" style="1" bestFit="1" customWidth="1"/>
    <col min="10" max="16384" width="9.140625" style="1"/>
  </cols>
  <sheetData>
    <row r="1" spans="1:40">
      <c r="A1" s="94" t="s">
        <v>13</v>
      </c>
      <c r="B1" s="94"/>
      <c r="C1" s="37" t="s">
        <v>14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(4.649-2.9)/H12</f>
        <v>0.70240963855421701</v>
      </c>
      <c r="D6" s="20">
        <f>((4.699-4.64)/H12)+((4.874-4.825)/H12)+((F12-5.125)/H12)</f>
        <v>5.1405622489959536E-2</v>
      </c>
      <c r="E6" s="20">
        <f>(4.824-4.75)/H12</f>
        <v>2.9718875502007972E-2</v>
      </c>
      <c r="F6" s="20">
        <f>(5.124-5.025)/H12</f>
        <v>3.9759036144578042E-2</v>
      </c>
      <c r="G6" s="20"/>
      <c r="H6" s="21">
        <f>(2.89-D12)/H12+(4.749-4.7)/H12+(5.024-4.875)/H12</f>
        <v>0.17389558232931721</v>
      </c>
      <c r="I6" s="2">
        <f>(5.874-5.175)/N12</f>
        <v>0.54609374999999982</v>
      </c>
      <c r="J6" s="2">
        <f>((5.174-J12)/N12)+((5.974-5.875)/N12)</f>
        <v>0.10000000000000077</v>
      </c>
      <c r="K6" s="2"/>
      <c r="L6" s="2"/>
      <c r="M6" s="2"/>
      <c r="N6" s="10">
        <f>(6.424-5.975)/N12</f>
        <v>0.35078125000000049</v>
      </c>
      <c r="O6" s="1">
        <f>(R12-6.675)/T12</f>
        <v>0.36708860759493744</v>
      </c>
      <c r="P6" s="2">
        <f>(6.474-P12)/T12</f>
        <v>0.12405063291139322</v>
      </c>
      <c r="Q6" s="2"/>
      <c r="R6" s="2"/>
      <c r="S6" s="2"/>
      <c r="T6" s="10">
        <f>(6.674-6.475)/T12</f>
        <v>0.50379746835443162</v>
      </c>
    </row>
    <row r="7" spans="1:40">
      <c r="B7" s="11" t="s">
        <v>1</v>
      </c>
      <c r="C7" s="22">
        <f>(4.874-D12)/H12</f>
        <v>0.8911646586345382</v>
      </c>
      <c r="D7" s="2"/>
      <c r="E7" s="2"/>
      <c r="F7" s="2"/>
      <c r="G7" s="2">
        <f>(F12-4.875)/H12</f>
        <v>0.10843373493975887</v>
      </c>
      <c r="H7" s="10"/>
      <c r="I7" s="2"/>
      <c r="J7" s="2"/>
      <c r="K7" s="2"/>
      <c r="L7" s="2">
        <f>(5.324-5.275)/N12</f>
        <v>3.8281249999999593E-2</v>
      </c>
      <c r="M7" s="2">
        <f>(5.274-J12)/N12</f>
        <v>0.10078125000000034</v>
      </c>
      <c r="N7" s="10">
        <f>(L12-5.325)/N12</f>
        <v>0.85937499999999956</v>
      </c>
      <c r="O7" s="2">
        <f>(R12-6.75)/T12</f>
        <v>0.17721518987341822</v>
      </c>
      <c r="P7" s="2"/>
      <c r="Q7" s="2"/>
      <c r="R7" s="2"/>
      <c r="S7" s="2"/>
      <c r="T7" s="10">
        <f>(6.75-P12)/T12</f>
        <v>0.82278481012658178</v>
      </c>
    </row>
    <row r="8" spans="1:40">
      <c r="B8" s="11" t="s">
        <v>2</v>
      </c>
      <c r="C8" s="22">
        <f>((4.499-D12)/H12)+((F12-4.55)/H12)</f>
        <v>0.97951807228915655</v>
      </c>
      <c r="D8" s="2"/>
      <c r="E8" s="2"/>
      <c r="F8" s="2">
        <f>(4.549-4.5)/H12</f>
        <v>1.9678714859437903E-2</v>
      </c>
      <c r="G8" s="2"/>
      <c r="H8" s="10"/>
      <c r="I8" s="2">
        <f>((5.649-J12)/N12)+((L12-5.75)/N12)</f>
        <v>0.92109375000000004</v>
      </c>
      <c r="J8" s="2"/>
      <c r="K8" s="2"/>
      <c r="L8" s="2">
        <f>(5.749-5.65)/N12</f>
        <v>7.7343749999999448E-2</v>
      </c>
      <c r="M8" s="2"/>
      <c r="N8" s="10"/>
      <c r="O8" s="2">
        <f>(6.499-P12)/T12</f>
        <v>0.18734177215189812</v>
      </c>
      <c r="P8" s="2"/>
      <c r="Q8" s="2">
        <f>(R12-6.725)/T12</f>
        <v>0.24050632911392539</v>
      </c>
      <c r="R8" s="2">
        <f>(6.624-6.5)/T12</f>
        <v>0.31392405063291018</v>
      </c>
      <c r="S8" s="2"/>
      <c r="T8" s="10">
        <f>(6.724-6.625)/T12</f>
        <v>0.25063291139240529</v>
      </c>
    </row>
    <row r="9" spans="1:40">
      <c r="B9" s="11" t="s">
        <v>3</v>
      </c>
      <c r="C9" s="22">
        <f>(2.849-D12)/H12+((3.449-3.15)/H12)+((4.049-3.6)/H12)+((F12-4.325)/H12)</f>
        <v>0.70763052208835342</v>
      </c>
      <c r="D9" s="2"/>
      <c r="E9" s="2">
        <f>(3.049-3)/H12</f>
        <v>1.9678714859437726E-2</v>
      </c>
      <c r="F9" s="2">
        <f>((3.149-3.1)/H12)+((4.324-4.275)/H12)</f>
        <v>3.9357429718875278E-2</v>
      </c>
      <c r="G9" s="2"/>
      <c r="H9" s="10">
        <f>((2.999-2.85)/H12)+((3.099-3.05)/H12)+((3.599-3.45)/H12)+((4.274-4.05)/H12)</f>
        <v>0.22931726907630551</v>
      </c>
      <c r="I9" s="2">
        <v>1</v>
      </c>
      <c r="J9" s="2"/>
      <c r="K9" s="2"/>
      <c r="L9" s="2"/>
      <c r="M9" s="2"/>
      <c r="N9" s="10"/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(3.599-D12)/H12</f>
        <v>0.37911646586345399</v>
      </c>
      <c r="D10" s="2">
        <f>((4.874-4.825)/H12)+((F12-5.1)/H12)</f>
        <v>3.775100401606403E-2</v>
      </c>
      <c r="E10" s="2">
        <f>((4.374-4.3)/H12)+((4.824-4.675)/H12)</f>
        <v>8.9558232931726864E-2</v>
      </c>
      <c r="F10" s="2">
        <f>(5.099-5.05)/H12</f>
        <v>1.9678714859437903E-2</v>
      </c>
      <c r="G10" s="2"/>
      <c r="H10" s="10">
        <f>((4.299-3.6)/H12)+((4.674-4.375)/H12)+((5.049-4.875)/H12)</f>
        <v>0.47068273092369523</v>
      </c>
      <c r="I10" s="2">
        <f>((5.849-5.3)/N12)+((6.399-5.95)/N12)</f>
        <v>0.77968750000000009</v>
      </c>
      <c r="J10" s="2">
        <f>((5.149-J12)/N12)+((5.949-5.85)/N12)+((L12-6.4)/N12)</f>
        <v>0.10000000000000007</v>
      </c>
      <c r="K10" s="2"/>
      <c r="L10" s="2"/>
      <c r="M10" s="2"/>
      <c r="N10" s="10">
        <f>((5.299-5.15)/H12)</f>
        <v>5.9839357429718888E-2</v>
      </c>
      <c r="O10" s="2">
        <f>(R12-6.45)/T12</f>
        <v>0.93670886075949289</v>
      </c>
      <c r="P10" s="2">
        <f>(6.449-P12)/T12</f>
        <v>6.075949367088606E-2</v>
      </c>
      <c r="Q10" s="2"/>
      <c r="R10" s="2"/>
      <c r="S10" s="2"/>
      <c r="T10" s="10"/>
    </row>
    <row r="11" spans="1:40" ht="15.75" thickBot="1">
      <c r="B11" s="12" t="s">
        <v>5</v>
      </c>
      <c r="C11" s="23">
        <f>((3.024-2.975)/H12)+((3.299-3.2)/H12) +((F12-3.525)/H12)</f>
        <v>0.71004016064257003</v>
      </c>
      <c r="D11" s="13"/>
      <c r="E11" s="13"/>
      <c r="F11" s="13"/>
      <c r="G11" s="13">
        <f>((3.199-3.025)/H12)+((3.524-3.3)/H12)</f>
        <v>0.15983935742971894</v>
      </c>
      <c r="H11" s="14">
        <f>((2.974-D12)/H12)</f>
        <v>0.12811244979919695</v>
      </c>
      <c r="I11" s="13">
        <f>((5.449-J12)/N12)+((L12-5.8)/N12)</f>
        <v>0.72578125000000004</v>
      </c>
      <c r="J11" s="13"/>
      <c r="K11" s="13">
        <f>(5.799-5.7)/N12</f>
        <v>7.7343750000000142E-2</v>
      </c>
      <c r="L11" s="13"/>
      <c r="M11" s="13"/>
      <c r="N11" s="14">
        <f>(5.699-5.45)/N12</f>
        <v>0.19453124999999971</v>
      </c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22</v>
      </c>
      <c r="C12" s="32" t="s">
        <v>23</v>
      </c>
      <c r="D12" s="33">
        <v>2.6549999999999998</v>
      </c>
      <c r="E12" s="34" t="s">
        <v>24</v>
      </c>
      <c r="F12" s="33">
        <v>5.1449999999999996</v>
      </c>
      <c r="G12" s="30" t="s">
        <v>21</v>
      </c>
      <c r="H12" s="33">
        <f>F12-D12</f>
        <v>2.4899999999999998</v>
      </c>
      <c r="I12" s="33" t="s">
        <v>23</v>
      </c>
      <c r="J12" s="33">
        <f>F12</f>
        <v>5.1449999999999996</v>
      </c>
      <c r="K12" s="33" t="s">
        <v>24</v>
      </c>
      <c r="L12" s="33">
        <f>6.425</f>
        <v>6.4249999999999998</v>
      </c>
      <c r="M12" s="33" t="s">
        <v>21</v>
      </c>
      <c r="N12" s="33">
        <f>L12-J12</f>
        <v>1.2800000000000002</v>
      </c>
      <c r="O12" s="33" t="s">
        <v>23</v>
      </c>
      <c r="P12" s="33">
        <f>L12</f>
        <v>6.4249999999999998</v>
      </c>
      <c r="Q12" s="33" t="s">
        <v>24</v>
      </c>
      <c r="R12" s="33">
        <v>6.82</v>
      </c>
      <c r="S12" s="33" t="s">
        <v>21</v>
      </c>
      <c r="T12" s="18">
        <f>R12-P12</f>
        <v>0.39500000000000046</v>
      </c>
    </row>
    <row r="14" spans="1:40" ht="15.75" thickBot="1">
      <c r="B14" s="41" t="s">
        <v>31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20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28</v>
      </c>
      <c r="W15" s="85" t="s">
        <v>20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>
        <v>1</v>
      </c>
      <c r="D18" s="20"/>
      <c r="E18" s="20"/>
      <c r="F18" s="20"/>
      <c r="G18" s="20"/>
      <c r="H18" s="21">
        <v>1</v>
      </c>
      <c r="I18" s="1">
        <v>1</v>
      </c>
      <c r="J18" s="2">
        <v>1</v>
      </c>
      <c r="K18" s="2"/>
      <c r="L18" s="2"/>
      <c r="M18" s="2"/>
      <c r="N18" s="10"/>
      <c r="O18" s="2">
        <v>1</v>
      </c>
      <c r="P18" s="2"/>
      <c r="Q18" s="2"/>
      <c r="R18" s="2"/>
      <c r="S18" s="2"/>
      <c r="T18" s="10">
        <v>1</v>
      </c>
      <c r="V18" s="11" t="s">
        <v>7</v>
      </c>
      <c r="W18" s="19">
        <v>1</v>
      </c>
      <c r="X18" s="20"/>
      <c r="Y18" s="20"/>
      <c r="Z18" s="20">
        <v>1</v>
      </c>
      <c r="AA18" s="20"/>
      <c r="AB18" s="21">
        <v>1</v>
      </c>
      <c r="AC18" s="2">
        <v>1</v>
      </c>
      <c r="AD18" s="2"/>
      <c r="AE18" s="2"/>
      <c r="AF18" s="2">
        <v>1</v>
      </c>
      <c r="AG18" s="2"/>
      <c r="AH18" s="10"/>
      <c r="AI18" s="2">
        <v>1</v>
      </c>
      <c r="AJ18" s="2"/>
      <c r="AK18" s="2"/>
      <c r="AL18" s="2"/>
      <c r="AM18" s="2"/>
      <c r="AN18" s="10"/>
    </row>
    <row r="19" spans="2:40">
      <c r="B19" s="11" t="s">
        <v>8</v>
      </c>
      <c r="C19" s="22">
        <v>1</v>
      </c>
      <c r="D19" s="2">
        <v>1</v>
      </c>
      <c r="E19" s="2">
        <v>1</v>
      </c>
      <c r="F19" s="2">
        <v>1</v>
      </c>
      <c r="G19" s="2"/>
      <c r="H19" s="10"/>
      <c r="I19" s="2">
        <v>1</v>
      </c>
      <c r="J19" s="2">
        <v>1</v>
      </c>
      <c r="K19" s="2"/>
      <c r="L19" s="2"/>
      <c r="M19" s="2"/>
      <c r="N19" s="10">
        <v>1</v>
      </c>
      <c r="O19" s="2"/>
      <c r="P19" s="2">
        <v>1</v>
      </c>
      <c r="Q19" s="2"/>
      <c r="R19" s="2"/>
      <c r="S19" s="2"/>
      <c r="T19" s="10"/>
      <c r="V19" s="11" t="s">
        <v>8</v>
      </c>
      <c r="W19" s="22"/>
      <c r="X19" s="2">
        <v>1</v>
      </c>
      <c r="Y19" s="2"/>
      <c r="Z19" s="2"/>
      <c r="AA19" s="2"/>
      <c r="AB19" s="10"/>
      <c r="AC19" s="2"/>
      <c r="AD19" s="2">
        <v>1</v>
      </c>
      <c r="AE19" s="2"/>
      <c r="AF19" s="2"/>
      <c r="AG19" s="2"/>
      <c r="AH19" s="10"/>
      <c r="AI19" s="2"/>
      <c r="AJ19" s="2">
        <v>1</v>
      </c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>
        <v>1</v>
      </c>
      <c r="F20" s="2"/>
      <c r="G20" s="2"/>
      <c r="H20" s="10">
        <v>1</v>
      </c>
      <c r="I20" s="2"/>
      <c r="J20" s="2"/>
      <c r="K20" s="2">
        <v>1</v>
      </c>
      <c r="L20" s="2"/>
      <c r="M20" s="2"/>
      <c r="N20" s="10"/>
      <c r="O20" s="2"/>
      <c r="P20" s="2"/>
      <c r="Q20" s="2">
        <v>1</v>
      </c>
      <c r="R20" s="2"/>
      <c r="S20" s="2"/>
      <c r="T20" s="10"/>
      <c r="V20" s="11" t="s">
        <v>9</v>
      </c>
      <c r="W20" s="22"/>
      <c r="X20" s="2"/>
      <c r="Y20" s="2">
        <v>1</v>
      </c>
      <c r="Z20" s="2"/>
      <c r="AA20" s="2"/>
      <c r="AB20" s="10">
        <v>1</v>
      </c>
      <c r="AC20" s="2"/>
      <c r="AD20" s="2"/>
      <c r="AE20" s="2">
        <v>1</v>
      </c>
      <c r="AF20" s="2"/>
      <c r="AG20" s="2"/>
      <c r="AH20" s="10"/>
      <c r="AI20" s="2"/>
      <c r="AJ20" s="2"/>
      <c r="AK20" s="2">
        <v>1</v>
      </c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>
        <v>1</v>
      </c>
      <c r="G21" s="2"/>
      <c r="H21" s="10">
        <v>1</v>
      </c>
      <c r="I21" s="2"/>
      <c r="J21" s="2"/>
      <c r="K21" s="2"/>
      <c r="L21" s="2">
        <v>1</v>
      </c>
      <c r="M21" s="2"/>
      <c r="N21" s="10"/>
      <c r="O21" s="2"/>
      <c r="P21" s="2"/>
      <c r="Q21" s="2"/>
      <c r="R21" s="2">
        <v>1</v>
      </c>
      <c r="S21" s="2"/>
      <c r="T21" s="10"/>
      <c r="V21" s="11" t="s">
        <v>10</v>
      </c>
      <c r="W21" s="22"/>
      <c r="X21" s="2"/>
      <c r="Y21" s="2"/>
      <c r="Z21" s="2">
        <v>1</v>
      </c>
      <c r="AA21" s="2"/>
      <c r="AB21" s="10">
        <v>2</v>
      </c>
      <c r="AC21" s="2"/>
      <c r="AD21" s="2"/>
      <c r="AE21" s="2"/>
      <c r="AF21" s="2">
        <v>1</v>
      </c>
      <c r="AG21" s="2"/>
      <c r="AH21" s="10"/>
      <c r="AI21" s="2"/>
      <c r="AJ21" s="2"/>
      <c r="AK21" s="2"/>
      <c r="AL21" s="2">
        <v>1</v>
      </c>
      <c r="AM21" s="2"/>
      <c r="AN21" s="10"/>
    </row>
    <row r="22" spans="2:40">
      <c r="B22" s="11" t="s">
        <v>11</v>
      </c>
      <c r="C22" s="22"/>
      <c r="E22" s="2"/>
      <c r="F22" s="2"/>
      <c r="G22" s="2">
        <v>1</v>
      </c>
      <c r="H22" s="10"/>
      <c r="I22" s="2"/>
      <c r="K22" s="2"/>
      <c r="L22" s="2"/>
      <c r="M22" s="2">
        <v>1</v>
      </c>
      <c r="N22" s="10"/>
      <c r="O22" s="2"/>
      <c r="Q22" s="2"/>
      <c r="R22" s="2"/>
      <c r="S22" s="2">
        <v>1</v>
      </c>
      <c r="T22" s="10"/>
      <c r="V22" s="11" t="s">
        <v>11</v>
      </c>
      <c r="X22" s="2"/>
      <c r="Z22" s="2"/>
      <c r="AA22" s="2">
        <v>1</v>
      </c>
      <c r="AB22" s="10"/>
      <c r="AC22" s="2"/>
      <c r="AD22" s="2"/>
      <c r="AE22" s="2"/>
      <c r="AF22" s="2"/>
      <c r="AG22" s="2">
        <v>1</v>
      </c>
      <c r="AH22" s="10"/>
      <c r="AI22" s="2"/>
      <c r="AJ22" s="2"/>
      <c r="AK22" s="2"/>
      <c r="AL22" s="2"/>
      <c r="AM22" s="2">
        <v>1</v>
      </c>
      <c r="AN22" s="10"/>
    </row>
    <row r="23" spans="2:40" ht="15.75" thickBot="1">
      <c r="B23" s="12" t="s">
        <v>12</v>
      </c>
      <c r="C23" s="23"/>
      <c r="D23" s="2">
        <v>2</v>
      </c>
      <c r="E23" s="13"/>
      <c r="F23" s="13"/>
      <c r="G23" s="13"/>
      <c r="H23" s="14">
        <v>1</v>
      </c>
      <c r="I23" s="13"/>
      <c r="J23" s="2">
        <v>1</v>
      </c>
      <c r="K23" s="13"/>
      <c r="L23" s="13"/>
      <c r="M23" s="13"/>
      <c r="N23" s="14">
        <v>1</v>
      </c>
      <c r="O23" s="13"/>
      <c r="P23" s="2">
        <v>1</v>
      </c>
      <c r="Q23" s="13"/>
      <c r="R23" s="13"/>
      <c r="S23" s="13"/>
      <c r="T23" s="14">
        <v>1</v>
      </c>
      <c r="V23" s="12" t="s">
        <v>12</v>
      </c>
      <c r="W23" s="22">
        <v>3</v>
      </c>
      <c r="X23" s="13"/>
      <c r="Y23" s="2">
        <v>1</v>
      </c>
      <c r="Z23" s="13"/>
      <c r="AA23" s="13"/>
      <c r="AB23" s="14">
        <v>1</v>
      </c>
      <c r="AC23" s="13"/>
      <c r="AD23" s="13"/>
      <c r="AE23" s="13"/>
      <c r="AF23" s="13"/>
      <c r="AG23" s="13"/>
      <c r="AH23" s="14">
        <v>1</v>
      </c>
      <c r="AI23" s="13"/>
      <c r="AJ23" s="13"/>
      <c r="AK23" s="13"/>
      <c r="AL23" s="13"/>
      <c r="AM23" s="13"/>
      <c r="AN23" s="14">
        <v>1</v>
      </c>
    </row>
    <row r="24" spans="2:40" ht="15.75" thickBot="1">
      <c r="B24" s="35" t="s">
        <v>26</v>
      </c>
      <c r="C24" s="32">
        <f>SUM(C18:H23)</f>
        <v>14</v>
      </c>
      <c r="D24" s="16"/>
      <c r="E24" s="17"/>
      <c r="F24" s="17"/>
      <c r="G24" s="17"/>
      <c r="H24" s="18"/>
      <c r="I24" s="32">
        <f>SUM(I18:N23)</f>
        <v>10</v>
      </c>
      <c r="J24" s="17"/>
      <c r="K24" s="17"/>
      <c r="L24" s="17"/>
      <c r="M24" s="17"/>
      <c r="N24" s="18"/>
      <c r="O24" s="32">
        <f>SUM(O18:T23)</f>
        <v>8</v>
      </c>
      <c r="P24" s="17"/>
      <c r="Q24" s="17"/>
      <c r="R24" s="17"/>
      <c r="S24" s="17"/>
      <c r="T24" s="18"/>
      <c r="V24" s="35" t="s">
        <v>26</v>
      </c>
      <c r="W24" s="32">
        <f>SUM(W18:AB23)</f>
        <v>15</v>
      </c>
      <c r="X24" s="16"/>
      <c r="Y24" s="17"/>
      <c r="Z24" s="17"/>
      <c r="AA24" s="17"/>
      <c r="AB24" s="18"/>
      <c r="AC24" s="32">
        <f>SUM(AC18:AH23)</f>
        <v>7</v>
      </c>
      <c r="AD24" s="17"/>
      <c r="AE24" s="17"/>
      <c r="AF24" s="17"/>
      <c r="AG24" s="17"/>
      <c r="AH24" s="18"/>
      <c r="AI24" s="32">
        <f>SUM(AI18:AN23)</f>
        <v>6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25</v>
      </c>
      <c r="C26" s="85" t="s">
        <v>20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30</v>
      </c>
      <c r="W26" s="85" t="s">
        <v>20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/>
      <c r="H29" s="21"/>
      <c r="I29" s="2">
        <v>1</v>
      </c>
      <c r="J29" s="2"/>
      <c r="K29" s="2"/>
      <c r="L29" s="2"/>
      <c r="M29" s="2"/>
      <c r="N29" s="10"/>
      <c r="O29" s="2">
        <v>1</v>
      </c>
      <c r="P29" s="2"/>
      <c r="Q29" s="2"/>
      <c r="R29" s="2"/>
      <c r="S29" s="2"/>
      <c r="T29" s="10">
        <v>1</v>
      </c>
      <c r="V29" s="11" t="s">
        <v>7</v>
      </c>
      <c r="W29" s="19">
        <v>1</v>
      </c>
      <c r="X29" s="20"/>
      <c r="Y29" s="20"/>
      <c r="Z29" s="20"/>
      <c r="AA29" s="20"/>
      <c r="AB29" s="21"/>
      <c r="AC29" s="2">
        <v>1</v>
      </c>
      <c r="AD29" s="2">
        <v>1</v>
      </c>
      <c r="AE29" s="2"/>
      <c r="AF29" s="2"/>
      <c r="AG29" s="2"/>
      <c r="AH29" s="10">
        <v>1</v>
      </c>
      <c r="AI29" s="2">
        <v>1</v>
      </c>
      <c r="AJ29" s="2">
        <v>1</v>
      </c>
      <c r="AK29" s="2"/>
      <c r="AL29" s="2"/>
      <c r="AM29" s="2"/>
      <c r="AN29" s="10"/>
    </row>
    <row r="30" spans="2:40">
      <c r="B30" s="11" t="s">
        <v>8</v>
      </c>
      <c r="C30" s="22"/>
      <c r="D30" s="2">
        <v>1</v>
      </c>
      <c r="E30" s="2"/>
      <c r="F30" s="2"/>
      <c r="G30" s="2"/>
      <c r="H30" s="10"/>
      <c r="I30" s="2"/>
      <c r="J30" s="2">
        <v>1</v>
      </c>
      <c r="K30" s="2"/>
      <c r="L30" s="2"/>
      <c r="M30" s="2"/>
      <c r="N30" s="10"/>
      <c r="O30" s="2"/>
      <c r="P30" s="2">
        <v>1</v>
      </c>
      <c r="Q30" s="2"/>
      <c r="R30" s="2"/>
      <c r="S30" s="2"/>
      <c r="T30" s="10"/>
      <c r="V30" s="11" t="s">
        <v>8</v>
      </c>
      <c r="W30" s="22"/>
      <c r="X30" s="2">
        <v>1</v>
      </c>
      <c r="Y30" s="2">
        <v>1</v>
      </c>
      <c r="Z30" s="2">
        <v>1</v>
      </c>
      <c r="AA30" s="2"/>
      <c r="AB30" s="10"/>
      <c r="AC30" s="2">
        <v>2</v>
      </c>
      <c r="AD30" s="2">
        <v>1</v>
      </c>
      <c r="AE30" s="2"/>
      <c r="AF30" s="2"/>
      <c r="AG30" s="2"/>
      <c r="AH30" s="10"/>
      <c r="AI30" s="2"/>
      <c r="AJ30" s="2">
        <v>1</v>
      </c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>
        <v>1</v>
      </c>
      <c r="F31" s="2"/>
      <c r="G31" s="2"/>
      <c r="H31" s="10"/>
      <c r="I31" s="2"/>
      <c r="J31" s="2"/>
      <c r="K31" s="2">
        <v>1</v>
      </c>
      <c r="L31" s="2"/>
      <c r="M31" s="2"/>
      <c r="N31" s="10"/>
      <c r="O31" s="2"/>
      <c r="P31" s="2"/>
      <c r="Q31" s="2">
        <v>1</v>
      </c>
      <c r="R31" s="2"/>
      <c r="S31" s="2"/>
      <c r="T31" s="10"/>
      <c r="V31" s="11" t="s">
        <v>9</v>
      </c>
      <c r="W31" s="22"/>
      <c r="X31" s="2"/>
      <c r="Y31" s="2">
        <v>1</v>
      </c>
      <c r="Z31" s="2"/>
      <c r="AA31" s="2"/>
      <c r="AB31" s="10">
        <v>2</v>
      </c>
      <c r="AC31" s="2"/>
      <c r="AD31" s="2"/>
      <c r="AE31" s="2">
        <v>1</v>
      </c>
      <c r="AF31" s="2"/>
      <c r="AG31" s="2"/>
      <c r="AH31" s="10"/>
      <c r="AI31" s="2"/>
      <c r="AJ31" s="2"/>
      <c r="AK31" s="2">
        <v>1</v>
      </c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>
        <v>1</v>
      </c>
      <c r="G32" s="2"/>
      <c r="H32" s="10"/>
      <c r="I32" s="2"/>
      <c r="J32" s="2"/>
      <c r="K32" s="2"/>
      <c r="L32" s="2">
        <v>1</v>
      </c>
      <c r="M32" s="2">
        <v>1</v>
      </c>
      <c r="N32" s="10"/>
      <c r="O32" s="2"/>
      <c r="P32" s="2"/>
      <c r="Q32" s="2"/>
      <c r="R32" s="2">
        <v>1</v>
      </c>
      <c r="S32" s="2"/>
      <c r="T32" s="10"/>
      <c r="V32" s="11" t="s">
        <v>10</v>
      </c>
      <c r="W32" s="22"/>
      <c r="X32" s="2"/>
      <c r="Y32" s="2"/>
      <c r="Z32" s="2">
        <v>1</v>
      </c>
      <c r="AA32" s="2"/>
      <c r="AB32" s="10">
        <v>1</v>
      </c>
      <c r="AC32" s="2"/>
      <c r="AD32" s="2"/>
      <c r="AE32" s="2"/>
      <c r="AF32" s="2">
        <v>1</v>
      </c>
      <c r="AG32" s="2"/>
      <c r="AH32" s="10"/>
      <c r="AI32" s="2"/>
      <c r="AJ32" s="2"/>
      <c r="AK32" s="2"/>
      <c r="AL32" s="2">
        <v>1</v>
      </c>
      <c r="AM32" s="2"/>
      <c r="AN32" s="10"/>
    </row>
    <row r="33" spans="2:40">
      <c r="B33" s="11" t="s">
        <v>11</v>
      </c>
      <c r="C33" s="22">
        <v>1</v>
      </c>
      <c r="D33" s="2"/>
      <c r="E33" s="2"/>
      <c r="F33" s="2"/>
      <c r="G33" s="2">
        <v>1</v>
      </c>
      <c r="H33" s="10"/>
      <c r="I33" s="2"/>
      <c r="J33" s="2"/>
      <c r="K33" s="2"/>
      <c r="M33" s="2">
        <v>1</v>
      </c>
      <c r="N33" s="10"/>
      <c r="O33" s="2"/>
      <c r="P33" s="2"/>
      <c r="Q33" s="2"/>
      <c r="R33" s="2"/>
      <c r="S33" s="2">
        <v>1</v>
      </c>
      <c r="T33" s="10"/>
      <c r="V33" s="11" t="s">
        <v>11</v>
      </c>
      <c r="Z33" s="2"/>
      <c r="AA33" s="2">
        <v>1</v>
      </c>
      <c r="AB33" s="10"/>
      <c r="AC33" s="2"/>
      <c r="AE33" s="2"/>
      <c r="AF33" s="2"/>
      <c r="AG33" s="2">
        <v>1</v>
      </c>
      <c r="AH33" s="10"/>
      <c r="AI33" s="2"/>
      <c r="AJ33" s="2"/>
      <c r="AK33" s="2"/>
      <c r="AL33" s="2"/>
      <c r="AM33" s="2">
        <v>1</v>
      </c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>
        <v>1</v>
      </c>
      <c r="I34" s="13"/>
      <c r="J34" s="13"/>
      <c r="K34" s="13"/>
      <c r="L34" s="2">
        <v>1</v>
      </c>
      <c r="M34" s="13"/>
      <c r="N34" s="14">
        <v>1</v>
      </c>
      <c r="O34" s="13"/>
      <c r="P34" s="13"/>
      <c r="Q34" s="13"/>
      <c r="R34" s="13"/>
      <c r="S34" s="13"/>
      <c r="T34" s="14">
        <v>1</v>
      </c>
      <c r="V34" s="12" t="s">
        <v>12</v>
      </c>
      <c r="W34" s="22">
        <v>1</v>
      </c>
      <c r="X34" s="2">
        <v>1</v>
      </c>
      <c r="Y34" s="2">
        <v>1</v>
      </c>
      <c r="Z34" s="13"/>
      <c r="AA34" s="13"/>
      <c r="AB34" s="14">
        <v>1</v>
      </c>
      <c r="AC34" s="13"/>
      <c r="AD34" s="2">
        <v>1</v>
      </c>
      <c r="AE34" s="13"/>
      <c r="AF34" s="13"/>
      <c r="AG34" s="13"/>
      <c r="AH34" s="14">
        <v>1</v>
      </c>
      <c r="AI34" s="13"/>
      <c r="AJ34" s="13"/>
      <c r="AK34" s="13"/>
      <c r="AL34" s="13"/>
      <c r="AM34" s="13"/>
      <c r="AN34" s="14">
        <v>1</v>
      </c>
    </row>
    <row r="35" spans="2:40" ht="15.75" thickBot="1">
      <c r="B35" s="36" t="s">
        <v>26</v>
      </c>
      <c r="C35" s="32">
        <f>SUM(C29:H34)</f>
        <v>7</v>
      </c>
      <c r="D35" s="16"/>
      <c r="E35" s="17"/>
      <c r="F35" s="17"/>
      <c r="G35" s="17"/>
      <c r="H35" s="18"/>
      <c r="I35" s="32">
        <f>SUM(I29:N34)</f>
        <v>8</v>
      </c>
      <c r="J35" s="17"/>
      <c r="K35" s="17"/>
      <c r="L35" s="17"/>
      <c r="M35" s="17"/>
      <c r="N35" s="18"/>
      <c r="O35" s="32">
        <f>SUM(O29:T34)</f>
        <v>7</v>
      </c>
      <c r="P35" s="17"/>
      <c r="Q35" s="17"/>
      <c r="R35" s="17"/>
      <c r="S35" s="17"/>
      <c r="T35" s="18"/>
      <c r="V35" s="35" t="s">
        <v>26</v>
      </c>
      <c r="W35" s="32">
        <f>SUM(W29:AB34)</f>
        <v>14</v>
      </c>
      <c r="X35" s="16"/>
      <c r="Y35" s="17"/>
      <c r="Z35" s="17"/>
      <c r="AA35" s="17"/>
      <c r="AB35" s="18"/>
      <c r="AC35" s="32">
        <f>SUM(AC29:AH34)</f>
        <v>11</v>
      </c>
      <c r="AD35" s="17"/>
      <c r="AE35" s="17"/>
      <c r="AF35" s="17"/>
      <c r="AG35" s="17"/>
      <c r="AH35" s="18"/>
      <c r="AI35" s="32">
        <f>SUM(AI29:AN34)</f>
        <v>7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27</v>
      </c>
      <c r="C38" s="85" t="s">
        <v>20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29</v>
      </c>
      <c r="W38" s="85" t="s">
        <v>20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>
        <v>1</v>
      </c>
      <c r="G41" s="20"/>
      <c r="H41" s="21"/>
      <c r="I41" s="2">
        <v>1</v>
      </c>
      <c r="J41" s="2"/>
      <c r="K41" s="2"/>
      <c r="L41" s="2">
        <v>1</v>
      </c>
      <c r="M41" s="2"/>
      <c r="N41" s="10"/>
      <c r="O41" s="2">
        <v>1</v>
      </c>
      <c r="P41" s="2"/>
      <c r="Q41" s="2"/>
      <c r="R41" s="2"/>
      <c r="S41" s="2"/>
      <c r="T41" s="10"/>
      <c r="V41" s="11" t="s">
        <v>7</v>
      </c>
      <c r="W41" s="19">
        <v>1</v>
      </c>
      <c r="X41" s="20"/>
      <c r="Y41" s="20"/>
      <c r="Z41" s="20"/>
      <c r="AA41" s="20">
        <v>2</v>
      </c>
      <c r="AB41" s="21">
        <v>1</v>
      </c>
      <c r="AC41" s="2">
        <v>1</v>
      </c>
      <c r="AD41" s="2"/>
      <c r="AE41" s="2">
        <v>1</v>
      </c>
      <c r="AF41" s="2"/>
      <c r="AG41" s="2"/>
      <c r="AH41" s="10"/>
      <c r="AI41" s="2">
        <v>1</v>
      </c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>
        <v>1</v>
      </c>
      <c r="E42" s="2"/>
      <c r="F42" s="2"/>
      <c r="G42" s="2"/>
      <c r="H42" s="10"/>
      <c r="I42" s="2"/>
      <c r="J42" s="2">
        <v>1</v>
      </c>
      <c r="K42" s="2"/>
      <c r="L42" s="2"/>
      <c r="M42" s="2"/>
      <c r="N42" s="10"/>
      <c r="O42" s="2"/>
      <c r="P42" s="2">
        <v>1</v>
      </c>
      <c r="Q42" s="2"/>
      <c r="R42" s="2"/>
      <c r="S42" s="2"/>
      <c r="T42" s="10"/>
      <c r="V42" s="11" t="s">
        <v>8</v>
      </c>
      <c r="W42" s="22"/>
      <c r="X42" s="2">
        <v>1</v>
      </c>
      <c r="Y42" s="2"/>
      <c r="Z42" s="2"/>
      <c r="AA42" s="2"/>
      <c r="AB42" s="10"/>
      <c r="AC42" s="2"/>
      <c r="AD42" s="2">
        <v>1</v>
      </c>
      <c r="AE42" s="2"/>
      <c r="AF42" s="2"/>
      <c r="AG42" s="2"/>
      <c r="AH42" s="10"/>
      <c r="AI42" s="2"/>
      <c r="AJ42" s="2">
        <v>1</v>
      </c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>
        <v>1</v>
      </c>
      <c r="F43" s="2"/>
      <c r="G43" s="2"/>
      <c r="H43" s="10"/>
      <c r="I43" s="2"/>
      <c r="J43" s="2"/>
      <c r="K43" s="2">
        <v>1</v>
      </c>
      <c r="L43" s="2"/>
      <c r="M43" s="2"/>
      <c r="N43" s="10"/>
      <c r="O43" s="2"/>
      <c r="P43" s="2"/>
      <c r="Q43" s="2">
        <v>1</v>
      </c>
      <c r="R43" s="2"/>
      <c r="S43" s="2"/>
      <c r="T43" s="10">
        <v>1</v>
      </c>
      <c r="V43" s="11" t="s">
        <v>9</v>
      </c>
      <c r="W43" s="22"/>
      <c r="X43" s="2"/>
      <c r="Y43" s="2">
        <v>1</v>
      </c>
      <c r="Z43" s="2"/>
      <c r="AA43" s="2"/>
      <c r="AB43" s="10"/>
      <c r="AC43" s="2"/>
      <c r="AD43" s="2"/>
      <c r="AE43" s="2">
        <v>1</v>
      </c>
      <c r="AF43" s="2"/>
      <c r="AG43" s="2"/>
      <c r="AH43" s="10">
        <v>1</v>
      </c>
      <c r="AI43" s="2"/>
      <c r="AJ43" s="2"/>
      <c r="AK43" s="2">
        <v>1</v>
      </c>
      <c r="AL43" s="2"/>
      <c r="AM43" s="2"/>
      <c r="AN43" s="10"/>
    </row>
    <row r="44" spans="2:40">
      <c r="B44" s="11" t="s">
        <v>10</v>
      </c>
      <c r="C44" s="22">
        <v>1</v>
      </c>
      <c r="D44" s="2"/>
      <c r="E44" s="2"/>
      <c r="F44" s="2">
        <v>1</v>
      </c>
      <c r="G44" s="2"/>
      <c r="H44" s="10"/>
      <c r="I44" s="2">
        <v>1</v>
      </c>
      <c r="J44" s="2"/>
      <c r="K44" s="2"/>
      <c r="L44" s="2">
        <v>1</v>
      </c>
      <c r="M44" s="2"/>
      <c r="N44" s="10"/>
      <c r="O44" s="2">
        <v>1</v>
      </c>
      <c r="P44" s="2"/>
      <c r="Q44" s="2"/>
      <c r="R44" s="2">
        <v>1</v>
      </c>
      <c r="S44" s="2"/>
      <c r="T44" s="10"/>
      <c r="V44" s="11" t="s">
        <v>10</v>
      </c>
      <c r="W44" s="22"/>
      <c r="X44" s="2"/>
      <c r="Y44" s="2"/>
      <c r="Z44" s="2">
        <v>1</v>
      </c>
      <c r="AA44" s="2"/>
      <c r="AB44" s="10"/>
      <c r="AC44" s="2"/>
      <c r="AD44" s="2"/>
      <c r="AE44" s="2"/>
      <c r="AF44" s="2">
        <v>1</v>
      </c>
      <c r="AG44" s="2"/>
      <c r="AH44" s="10"/>
      <c r="AI44" s="2"/>
      <c r="AJ44" s="2"/>
      <c r="AK44" s="2"/>
      <c r="AL44" s="2">
        <v>1</v>
      </c>
      <c r="AM44" s="2"/>
      <c r="AN44" s="10"/>
    </row>
    <row r="45" spans="2:40">
      <c r="B45" s="11" t="s">
        <v>11</v>
      </c>
      <c r="C45" s="22"/>
      <c r="D45" s="2"/>
      <c r="E45" s="2"/>
      <c r="F45" s="2"/>
      <c r="G45" s="2">
        <v>1</v>
      </c>
      <c r="H45" s="10"/>
      <c r="I45" s="2"/>
      <c r="J45" s="2"/>
      <c r="K45" s="2"/>
      <c r="L45" s="2"/>
      <c r="M45" s="2">
        <v>1</v>
      </c>
      <c r="N45" s="10"/>
      <c r="O45" s="2"/>
      <c r="P45" s="2"/>
      <c r="Q45" s="2"/>
      <c r="S45" s="2">
        <v>1</v>
      </c>
      <c r="T45" s="10"/>
      <c r="V45" s="11" t="s">
        <v>11</v>
      </c>
      <c r="W45" s="22">
        <v>2</v>
      </c>
      <c r="X45" s="2"/>
      <c r="Y45" s="2"/>
      <c r="Z45" s="2"/>
      <c r="AA45" s="2">
        <v>1</v>
      </c>
      <c r="AB45" s="10"/>
      <c r="AC45" s="2"/>
      <c r="AD45" s="2"/>
      <c r="AE45" s="2"/>
      <c r="AF45" s="2"/>
      <c r="AG45" s="2">
        <v>1</v>
      </c>
      <c r="AH45" s="10"/>
      <c r="AI45" s="2"/>
      <c r="AJ45" s="2"/>
      <c r="AK45" s="2"/>
      <c r="AL45" s="2"/>
      <c r="AM45" s="2">
        <v>1</v>
      </c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>
        <v>1</v>
      </c>
      <c r="I46" s="13"/>
      <c r="J46" s="13"/>
      <c r="K46" s="13"/>
      <c r="L46" s="13"/>
      <c r="M46" s="13"/>
      <c r="N46" s="14">
        <v>1</v>
      </c>
      <c r="O46" s="13"/>
      <c r="P46" s="13"/>
      <c r="Q46" s="13"/>
      <c r="R46" s="2">
        <v>1</v>
      </c>
      <c r="S46" s="13"/>
      <c r="T46" s="14">
        <v>1</v>
      </c>
      <c r="V46" s="12" t="s">
        <v>12</v>
      </c>
      <c r="W46" s="23"/>
      <c r="X46" s="13"/>
      <c r="Y46" s="13"/>
      <c r="Z46" s="13"/>
      <c r="AA46" s="13"/>
      <c r="AB46" s="14">
        <v>1</v>
      </c>
      <c r="AC46" s="13">
        <v>1</v>
      </c>
      <c r="AD46" s="13"/>
      <c r="AE46" s="13"/>
      <c r="AF46" s="13"/>
      <c r="AG46" s="13"/>
      <c r="AH46" s="14">
        <v>1</v>
      </c>
      <c r="AI46" s="13"/>
      <c r="AJ46" s="13"/>
      <c r="AK46" s="13"/>
      <c r="AL46" s="13"/>
      <c r="AM46" s="13"/>
      <c r="AN46" s="14">
        <v>1</v>
      </c>
    </row>
    <row r="47" spans="2:40" ht="15.75" thickBot="1">
      <c r="B47" s="36" t="s">
        <v>26</v>
      </c>
      <c r="C47" s="32">
        <f>SUM(C41:H46)</f>
        <v>8</v>
      </c>
      <c r="D47" s="16"/>
      <c r="E47" s="17"/>
      <c r="F47" s="17"/>
      <c r="G47" s="17"/>
      <c r="H47" s="18"/>
      <c r="I47" s="32">
        <f>SUM(I41:N46)</f>
        <v>8</v>
      </c>
      <c r="J47" s="17"/>
      <c r="K47" s="17"/>
      <c r="L47" s="17"/>
      <c r="M47" s="17"/>
      <c r="N47" s="18"/>
      <c r="O47" s="32">
        <f>SUM(O41:T46)</f>
        <v>9</v>
      </c>
      <c r="P47" s="17"/>
      <c r="Q47" s="17"/>
      <c r="R47" s="17"/>
      <c r="S47" s="17"/>
      <c r="T47" s="18"/>
      <c r="V47" s="35" t="s">
        <v>26</v>
      </c>
      <c r="W47" s="32">
        <f>SUM(W41:AB46)</f>
        <v>11</v>
      </c>
      <c r="X47" s="16"/>
      <c r="Y47" s="17"/>
      <c r="Z47" s="17"/>
      <c r="AA47" s="17"/>
      <c r="AB47" s="18"/>
      <c r="AC47" s="32">
        <f>SUM(AC41:AH46)</f>
        <v>9</v>
      </c>
      <c r="AD47" s="17"/>
      <c r="AE47" s="17"/>
      <c r="AF47" s="17"/>
      <c r="AG47" s="17"/>
      <c r="AH47" s="18"/>
      <c r="AI47" s="32">
        <f>SUM(AI41:AN46)</f>
        <v>6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42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40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40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40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1.7490000000000001</v>
      </c>
      <c r="D52" s="65">
        <f t="shared" ref="D52:H52" si="0">D6*$H$12</f>
        <v>0.12799999999999923</v>
      </c>
      <c r="E52" s="65">
        <f t="shared" si="0"/>
        <v>7.3999999999999844E-2</v>
      </c>
      <c r="F52" s="65">
        <f t="shared" si="0"/>
        <v>9.8999999999999311E-2</v>
      </c>
      <c r="G52" s="65">
        <f t="shared" si="0"/>
        <v>0</v>
      </c>
      <c r="H52" s="65">
        <f t="shared" si="0"/>
        <v>0.43299999999999977</v>
      </c>
      <c r="I52" s="64">
        <f>I6*$N$12</f>
        <v>0.69899999999999995</v>
      </c>
      <c r="J52" s="65">
        <f t="shared" ref="J52:N52" si="1">J6*$N$12</f>
        <v>0.128000000000001</v>
      </c>
      <c r="K52" s="65">
        <f t="shared" si="1"/>
        <v>0</v>
      </c>
      <c r="L52" s="65">
        <f t="shared" si="1"/>
        <v>0</v>
      </c>
      <c r="M52" s="65">
        <f t="shared" si="1"/>
        <v>0</v>
      </c>
      <c r="N52" s="65">
        <f t="shared" si="1"/>
        <v>0.44900000000000073</v>
      </c>
      <c r="O52" s="64">
        <f>O6*$T$12</f>
        <v>0.14500000000000046</v>
      </c>
      <c r="P52" s="65">
        <f t="shared" ref="P52:T52" si="2">P6*$T$12</f>
        <v>4.9000000000000377E-2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0.19900000000000073</v>
      </c>
    </row>
    <row r="53" spans="2:20">
      <c r="B53" s="26" t="s">
        <v>1</v>
      </c>
      <c r="C53" s="67">
        <f t="shared" ref="C53:H57" si="3">C7*$H$12</f>
        <v>2.2189999999999999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0.26999999999999957</v>
      </c>
      <c r="H53" s="63">
        <f t="shared" si="3"/>
        <v>0</v>
      </c>
      <c r="I53" s="67">
        <f t="shared" ref="I53:N57" si="4">I7*$N$12</f>
        <v>0</v>
      </c>
      <c r="J53" s="63">
        <f t="shared" si="4"/>
        <v>0</v>
      </c>
      <c r="K53" s="63">
        <f t="shared" si="4"/>
        <v>0</v>
      </c>
      <c r="L53" s="63">
        <f t="shared" si="4"/>
        <v>4.8999999999999488E-2</v>
      </c>
      <c r="M53" s="63">
        <f t="shared" si="4"/>
        <v>0.12900000000000045</v>
      </c>
      <c r="N53" s="63">
        <f t="shared" si="4"/>
        <v>1.0999999999999996</v>
      </c>
      <c r="O53" s="67">
        <f t="shared" ref="O53:T57" si="5">O7*$T$12</f>
        <v>7.0000000000000284E-2</v>
      </c>
      <c r="P53" s="63">
        <f t="shared" si="5"/>
        <v>0</v>
      </c>
      <c r="Q53" s="63">
        <f t="shared" si="5"/>
        <v>0</v>
      </c>
      <c r="R53" s="63">
        <f t="shared" si="5"/>
        <v>0</v>
      </c>
      <c r="S53" s="63">
        <f t="shared" si="5"/>
        <v>0</v>
      </c>
      <c r="T53" s="68">
        <f t="shared" si="5"/>
        <v>0.32500000000000018</v>
      </c>
    </row>
    <row r="54" spans="2:20">
      <c r="B54" s="26" t="s">
        <v>2</v>
      </c>
      <c r="C54" s="67">
        <f t="shared" si="3"/>
        <v>2.4389999999999996</v>
      </c>
      <c r="D54" s="63">
        <f t="shared" si="3"/>
        <v>0</v>
      </c>
      <c r="E54" s="63">
        <f t="shared" si="3"/>
        <v>0</v>
      </c>
      <c r="F54" s="63">
        <f t="shared" si="3"/>
        <v>4.9000000000000377E-2</v>
      </c>
      <c r="G54" s="63">
        <f t="shared" si="3"/>
        <v>0</v>
      </c>
      <c r="H54" s="63">
        <f t="shared" si="3"/>
        <v>0</v>
      </c>
      <c r="I54" s="67">
        <f t="shared" si="4"/>
        <v>1.1790000000000003</v>
      </c>
      <c r="J54" s="63">
        <f t="shared" si="4"/>
        <v>0</v>
      </c>
      <c r="K54" s="63">
        <f t="shared" si="4"/>
        <v>0</v>
      </c>
      <c r="L54" s="63">
        <f t="shared" si="4"/>
        <v>9.8999999999999311E-2</v>
      </c>
      <c r="M54" s="63">
        <f t="shared" si="4"/>
        <v>0</v>
      </c>
      <c r="N54" s="63">
        <f t="shared" si="4"/>
        <v>0</v>
      </c>
      <c r="O54" s="67">
        <f t="shared" si="5"/>
        <v>7.3999999999999844E-2</v>
      </c>
      <c r="P54" s="63">
        <f t="shared" si="5"/>
        <v>0</v>
      </c>
      <c r="Q54" s="63">
        <f t="shared" si="5"/>
        <v>9.5000000000000639E-2</v>
      </c>
      <c r="R54" s="63">
        <f t="shared" si="5"/>
        <v>0.12399999999999967</v>
      </c>
      <c r="S54" s="63">
        <f t="shared" si="5"/>
        <v>0</v>
      </c>
      <c r="T54" s="68">
        <f t="shared" si="5"/>
        <v>9.9000000000000199E-2</v>
      </c>
    </row>
    <row r="55" spans="2:20">
      <c r="B55" s="26" t="s">
        <v>3</v>
      </c>
      <c r="C55" s="67">
        <f t="shared" si="3"/>
        <v>1.7619999999999998</v>
      </c>
      <c r="D55" s="63">
        <f t="shared" si="3"/>
        <v>0</v>
      </c>
      <c r="E55" s="63">
        <f t="shared" si="3"/>
        <v>4.8999999999999932E-2</v>
      </c>
      <c r="F55" s="63">
        <f t="shared" si="3"/>
        <v>9.7999999999999435E-2</v>
      </c>
      <c r="G55" s="63">
        <f t="shared" si="3"/>
        <v>0</v>
      </c>
      <c r="H55" s="63">
        <f t="shared" si="3"/>
        <v>0.57100000000000062</v>
      </c>
      <c r="I55" s="67">
        <f t="shared" si="4"/>
        <v>1.2800000000000002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</v>
      </c>
      <c r="O55" s="67">
        <f t="shared" si="5"/>
        <v>0.39500000000000046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0.94400000000000039</v>
      </c>
      <c r="D56" s="63">
        <f t="shared" si="3"/>
        <v>9.3999999999999431E-2</v>
      </c>
      <c r="E56" s="63">
        <f t="shared" si="3"/>
        <v>0.22299999999999986</v>
      </c>
      <c r="F56" s="63">
        <f t="shared" si="3"/>
        <v>4.9000000000000377E-2</v>
      </c>
      <c r="G56" s="63">
        <f t="shared" si="3"/>
        <v>0</v>
      </c>
      <c r="H56" s="63">
        <f t="shared" si="3"/>
        <v>1.172000000000001</v>
      </c>
      <c r="I56" s="67">
        <f t="shared" si="4"/>
        <v>0.99800000000000033</v>
      </c>
      <c r="J56" s="63">
        <f t="shared" si="4"/>
        <v>0.12800000000000011</v>
      </c>
      <c r="K56" s="63">
        <f t="shared" si="4"/>
        <v>0</v>
      </c>
      <c r="L56" s="63">
        <f t="shared" si="4"/>
        <v>0</v>
      </c>
      <c r="M56" s="63">
        <f t="shared" si="4"/>
        <v>0</v>
      </c>
      <c r="N56" s="63">
        <f t="shared" si="4"/>
        <v>7.6594377510040196E-2</v>
      </c>
      <c r="O56" s="67">
        <f t="shared" si="5"/>
        <v>0.37000000000000011</v>
      </c>
      <c r="P56" s="63">
        <f t="shared" si="5"/>
        <v>2.4000000000000021E-2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1.7679999999999991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0.39800000000000013</v>
      </c>
      <c r="H57" s="70">
        <f t="shared" si="3"/>
        <v>0.31900000000000039</v>
      </c>
      <c r="I57" s="69">
        <f t="shared" si="4"/>
        <v>0.92900000000000027</v>
      </c>
      <c r="J57" s="70">
        <f t="shared" si="4"/>
        <v>0</v>
      </c>
      <c r="K57" s="70">
        <f t="shared" si="4"/>
        <v>9.9000000000000199E-2</v>
      </c>
      <c r="L57" s="70">
        <f t="shared" si="4"/>
        <v>0</v>
      </c>
      <c r="M57" s="70">
        <f t="shared" si="4"/>
        <v>0</v>
      </c>
      <c r="N57" s="70">
        <f t="shared" si="4"/>
        <v>0.24899999999999967</v>
      </c>
      <c r="O57" s="69">
        <f t="shared" si="5"/>
        <v>0.39500000000000046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A1:B1"/>
    <mergeCell ref="C3:T3"/>
    <mergeCell ref="C4:H4"/>
    <mergeCell ref="I4:N4"/>
    <mergeCell ref="O4:T4"/>
    <mergeCell ref="C49:T49"/>
    <mergeCell ref="C50:H50"/>
    <mergeCell ref="I50:N50"/>
    <mergeCell ref="O50:T50"/>
    <mergeCell ref="C15:T15"/>
    <mergeCell ref="C16:H16"/>
    <mergeCell ref="I16:N16"/>
    <mergeCell ref="O16:T16"/>
    <mergeCell ref="B15:B17"/>
    <mergeCell ref="B26:B28"/>
    <mergeCell ref="C26:T26"/>
    <mergeCell ref="C27:H27"/>
    <mergeCell ref="I27:N27"/>
    <mergeCell ref="O27:T27"/>
    <mergeCell ref="B38:B40"/>
    <mergeCell ref="C38:T38"/>
    <mergeCell ref="C39:H39"/>
    <mergeCell ref="I39:N39"/>
    <mergeCell ref="O39:T39"/>
    <mergeCell ref="V15:V17"/>
    <mergeCell ref="W15:AN15"/>
    <mergeCell ref="W16:AB16"/>
    <mergeCell ref="AC16:AH16"/>
    <mergeCell ref="AI16:AN16"/>
    <mergeCell ref="V26:V28"/>
    <mergeCell ref="W26:AN26"/>
    <mergeCell ref="W27:AB27"/>
    <mergeCell ref="AC27:AH27"/>
    <mergeCell ref="AI27:AN27"/>
    <mergeCell ref="V38:V40"/>
    <mergeCell ref="W38:AN38"/>
    <mergeCell ref="W39:AB39"/>
    <mergeCell ref="AC39:AH39"/>
    <mergeCell ref="AI39:AN39"/>
  </mergeCell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N58"/>
  <sheetViews>
    <sheetView topLeftCell="A13" zoomScale="50" zoomScaleNormal="50" workbookViewId="0">
      <selection activeCell="C52" sqref="C52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32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(4.524-2.9)/H12</f>
        <v>0.65220883534136553</v>
      </c>
      <c r="D6" s="20"/>
      <c r="E6" s="20"/>
      <c r="F6" s="20"/>
      <c r="G6" s="20"/>
      <c r="H6" s="21">
        <f>((2.899-D12)/H12)+((F12-4.525)/H12)</f>
        <v>0.34698795180722874</v>
      </c>
      <c r="I6" s="2">
        <f>(5.924-5.775)/N12</f>
        <v>0.11037037037037034</v>
      </c>
      <c r="J6" s="2">
        <f>(6.374-6.325)/N12</f>
        <v>3.6296296296295903E-2</v>
      </c>
      <c r="K6" s="2">
        <f>(5.574-5.525)/N12</f>
        <v>3.6296296296295903E-2</v>
      </c>
      <c r="L6" s="2"/>
      <c r="M6" s="2">
        <f>(5.774-5.575)/N12</f>
        <v>0.14740740740740724</v>
      </c>
      <c r="N6" s="10">
        <f>((5.524-J12)/N12)+((6.324-5.925)/N12)+((L12-6.375)/N12)</f>
        <v>0.66518518518518532</v>
      </c>
      <c r="P6" s="2"/>
      <c r="Q6" s="2"/>
      <c r="R6" s="2"/>
      <c r="S6" s="2"/>
      <c r="T6" s="10">
        <v>1</v>
      </c>
    </row>
    <row r="7" spans="1:40">
      <c r="B7" s="11" t="s">
        <v>1</v>
      </c>
      <c r="C7" s="22">
        <f>((3.049-D12)/H12)+((F12-4.1)/H12)</f>
        <v>0.57791164658634542</v>
      </c>
      <c r="D7" s="2"/>
      <c r="E7" s="2"/>
      <c r="F7" s="2"/>
      <c r="G7" s="2">
        <f>(4.099-3.05)/H12</f>
        <v>0.42128514056224919</v>
      </c>
      <c r="H7" s="10"/>
      <c r="I7" s="2">
        <f>1</f>
        <v>1</v>
      </c>
      <c r="J7" s="2"/>
      <c r="K7" s="2"/>
      <c r="L7" s="2"/>
      <c r="M7" s="2"/>
      <c r="N7" s="10"/>
      <c r="O7" s="1">
        <f>(7.124-P12)/T12</f>
        <v>0.89857142857142769</v>
      </c>
      <c r="P7" s="2"/>
      <c r="Q7" s="2"/>
      <c r="R7" s="2"/>
      <c r="S7" s="2">
        <f>(R12-7.125)/T12</f>
        <v>0.10000000000000038</v>
      </c>
      <c r="T7" s="10"/>
    </row>
    <row r="8" spans="1:40">
      <c r="B8" s="11" t="s">
        <v>2</v>
      </c>
      <c r="C8" s="22">
        <v>1</v>
      </c>
      <c r="D8" s="2"/>
      <c r="E8" s="2"/>
      <c r="F8" s="2"/>
      <c r="G8" s="2"/>
      <c r="H8" s="10"/>
      <c r="I8" s="2">
        <f>((5.899-J12)/N12)+((6.299-6.2)/N12)</f>
        <v>0.63185185185185211</v>
      </c>
      <c r="J8" s="2"/>
      <c r="K8" s="2"/>
      <c r="L8" s="2"/>
      <c r="M8" s="2">
        <f>((6.199-5.9)/N12)+((L12-6.3)/N12)</f>
        <v>0.3659259259259256</v>
      </c>
      <c r="N8" s="10"/>
      <c r="O8" s="2">
        <f>(R12-6.625)/T12</f>
        <v>0.8142857142857145</v>
      </c>
      <c r="P8" s="2"/>
      <c r="Q8" s="2"/>
      <c r="R8" s="2"/>
      <c r="S8" s="2">
        <f>((6.624-P12)/T12)</f>
        <v>0.18428571428571361</v>
      </c>
      <c r="T8" s="10"/>
    </row>
    <row r="9" spans="1:40">
      <c r="B9" s="11" t="s">
        <v>3</v>
      </c>
      <c r="C9" s="22">
        <f>((2.849-D12)/H12+((3.449-3.15)/H12)+((4.274-3.6)/H12)+((F12-4.375)/H12))</f>
        <v>0.77791164658634537</v>
      </c>
      <c r="D9" s="2"/>
      <c r="E9" s="2">
        <f>(3.049-3)/H12</f>
        <v>1.9678714859437726E-2</v>
      </c>
      <c r="F9" s="2">
        <f>(3.149-3.1)/H12</f>
        <v>1.9678714859437726E-2</v>
      </c>
      <c r="G9" s="2">
        <f>((4.374-4.275)/H12)</f>
        <v>3.9759036144578042E-2</v>
      </c>
      <c r="H9" s="10">
        <f>((2.999-2.85)/H12)+((3.099-3.05)/H12)+((3.599-3.45)/H12)</f>
        <v>0.13935742971887569</v>
      </c>
      <c r="I9" s="2"/>
      <c r="J9" s="2"/>
      <c r="K9" s="2"/>
      <c r="L9" s="2">
        <f>((5.724-5.625)/N12)+((6.299-6.15)/N12)</f>
        <v>0.18370370370370381</v>
      </c>
      <c r="M9" s="2">
        <f>(5.624-J12)/N12</f>
        <v>0.35481481481481475</v>
      </c>
      <c r="N9" s="10">
        <f>((6.149-5.725)/N12)+((L12-6.3)/N12)</f>
        <v>0.45851851851851883</v>
      </c>
      <c r="O9" s="2"/>
      <c r="P9" s="2"/>
      <c r="Q9" s="2"/>
      <c r="R9" s="2">
        <f>(R12-6.625)/T12</f>
        <v>0.8142857142857145</v>
      </c>
      <c r="S9" s="2"/>
      <c r="T9" s="10">
        <f>(6.624-P12)/T12</f>
        <v>0.18428571428571361</v>
      </c>
    </row>
    <row r="10" spans="1:40">
      <c r="B10" s="11" t="s">
        <v>4</v>
      </c>
      <c r="C10" s="22">
        <f>((3.599-D12)/H12)+((5.074-4.349)/H12)</f>
        <v>0.67028112449799204</v>
      </c>
      <c r="D10" s="2">
        <f>(F12-5.075)/H12</f>
        <v>2.8112449799196547E-2</v>
      </c>
      <c r="E10" s="2"/>
      <c r="F10" s="2"/>
      <c r="G10" s="2">
        <f>(4.349-3.6)/H12</f>
        <v>0.30080321285140571</v>
      </c>
      <c r="H10" s="10"/>
      <c r="I10" s="2">
        <f>((5.724-5.4)/N12)+((6.149-5.775)/N12)+((6.299-6.2)/N12)+((L12-6.35)/N12)</f>
        <v>0.69777777777777772</v>
      </c>
      <c r="J10" s="2">
        <f>((5.149-J12)/N12)+((5.774-5.725)/N12)+((6.199-6.15)/N12)+((6.349-6.3)/N12)</f>
        <v>0.11185185185185233</v>
      </c>
      <c r="K10" s="2"/>
      <c r="L10" s="2"/>
      <c r="M10" s="2">
        <f>((5.399-5.15)/N12)</f>
        <v>0.18444444444444413</v>
      </c>
      <c r="N10" s="10"/>
      <c r="O10" s="2">
        <v>1</v>
      </c>
      <c r="P10" s="2"/>
      <c r="Q10" s="2"/>
      <c r="R10" s="2"/>
      <c r="S10" s="2"/>
      <c r="T10" s="10"/>
    </row>
    <row r="11" spans="1:40" ht="15.75" thickBot="1">
      <c r="B11" s="12" t="s">
        <v>5</v>
      </c>
      <c r="C11" s="23">
        <f>((3.024-2.975)/H12)+((3.2495-3.2)/H12)+((F12-3.525)/H12)</f>
        <v>0.69016064257028087</v>
      </c>
      <c r="D11" s="13"/>
      <c r="E11" s="13"/>
      <c r="F11" s="13"/>
      <c r="G11" s="13">
        <f>((3.199-3.025)/H12)+((3.524-3.3)/H12)</f>
        <v>0.15983935742971894</v>
      </c>
      <c r="H11" s="14">
        <f>(2.974-D12)/H12</f>
        <v>0.12811244979919695</v>
      </c>
      <c r="I11" s="13">
        <v>1</v>
      </c>
      <c r="J11" s="13"/>
      <c r="K11" s="13"/>
      <c r="L11" s="13"/>
      <c r="M11" s="13"/>
      <c r="N11" s="14"/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22</v>
      </c>
      <c r="C12" s="32" t="s">
        <v>23</v>
      </c>
      <c r="D12" s="33">
        <v>2.6549999999999998</v>
      </c>
      <c r="E12" s="34" t="s">
        <v>24</v>
      </c>
      <c r="F12" s="33">
        <v>5.1449999999999996</v>
      </c>
      <c r="G12" s="30" t="s">
        <v>21</v>
      </c>
      <c r="H12" s="33">
        <f>F12-D12</f>
        <v>2.4899999999999998</v>
      </c>
      <c r="I12" s="33" t="s">
        <v>23</v>
      </c>
      <c r="J12" s="33">
        <f>F12</f>
        <v>5.1449999999999996</v>
      </c>
      <c r="K12" s="33" t="s">
        <v>24</v>
      </c>
      <c r="L12" s="33">
        <f>6.495</f>
        <v>6.4950000000000001</v>
      </c>
      <c r="M12" s="33" t="s">
        <v>21</v>
      </c>
      <c r="N12" s="33">
        <f>L12-J12</f>
        <v>1.3500000000000005</v>
      </c>
      <c r="O12" s="33" t="s">
        <v>23</v>
      </c>
      <c r="P12" s="33">
        <f>L12</f>
        <v>6.4950000000000001</v>
      </c>
      <c r="Q12" s="33" t="s">
        <v>24</v>
      </c>
      <c r="R12" s="33">
        <v>7.1950000000000003</v>
      </c>
      <c r="S12" s="33" t="s">
        <v>21</v>
      </c>
      <c r="T12" s="18">
        <f>R12-P12</f>
        <v>0.70000000000000018</v>
      </c>
    </row>
    <row r="14" spans="1:40" ht="15.75" thickBot="1">
      <c r="B14" s="41" t="s">
        <v>31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20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28</v>
      </c>
      <c r="W15" s="85" t="s">
        <v>20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>
        <v>1</v>
      </c>
      <c r="D18" s="20"/>
      <c r="E18" s="20"/>
      <c r="F18" s="20"/>
      <c r="G18" s="20"/>
      <c r="H18" s="21">
        <v>1</v>
      </c>
      <c r="I18" s="1">
        <v>1</v>
      </c>
      <c r="J18" s="2"/>
      <c r="K18" s="2"/>
      <c r="L18" s="2"/>
      <c r="M18" s="2">
        <v>1</v>
      </c>
      <c r="N18" s="10"/>
      <c r="O18" s="2">
        <v>1</v>
      </c>
      <c r="P18" s="2"/>
      <c r="Q18" s="2"/>
      <c r="R18" s="2"/>
      <c r="S18" s="2"/>
      <c r="T18" s="10"/>
      <c r="V18" s="11" t="s">
        <v>7</v>
      </c>
      <c r="W18" s="19">
        <v>1</v>
      </c>
      <c r="X18" s="20"/>
      <c r="Y18" s="20"/>
      <c r="Z18" s="20">
        <v>1</v>
      </c>
      <c r="AA18" s="20">
        <v>1</v>
      </c>
      <c r="AB18" s="21">
        <v>1</v>
      </c>
      <c r="AC18" s="2">
        <v>1</v>
      </c>
      <c r="AD18" s="2"/>
      <c r="AE18" s="2"/>
      <c r="AF18" s="2"/>
      <c r="AG18" s="2"/>
      <c r="AH18" s="10"/>
      <c r="AI18" s="2">
        <v>1</v>
      </c>
      <c r="AJ18" s="2"/>
      <c r="AK18" s="2"/>
      <c r="AL18" s="2"/>
      <c r="AM18" s="2"/>
      <c r="AN18" s="10"/>
    </row>
    <row r="19" spans="2:40">
      <c r="B19" s="11" t="s">
        <v>8</v>
      </c>
      <c r="C19" s="22"/>
      <c r="D19" s="2">
        <v>1</v>
      </c>
      <c r="E19" s="2"/>
      <c r="F19" s="2"/>
      <c r="G19" s="2"/>
      <c r="H19" s="10"/>
      <c r="I19" s="2">
        <v>1</v>
      </c>
      <c r="J19" s="2">
        <v>1</v>
      </c>
      <c r="K19" s="2"/>
      <c r="L19" s="2"/>
      <c r="M19" s="2"/>
      <c r="N19" s="10"/>
      <c r="O19" s="2"/>
      <c r="P19" s="2">
        <v>1</v>
      </c>
      <c r="Q19" s="2"/>
      <c r="R19" s="2"/>
      <c r="S19" s="2"/>
      <c r="T19" s="10"/>
      <c r="V19" s="11" t="s">
        <v>8</v>
      </c>
      <c r="W19" s="22"/>
      <c r="X19" s="2">
        <v>1</v>
      </c>
      <c r="Y19" s="2"/>
      <c r="Z19" s="2"/>
      <c r="AA19" s="2"/>
      <c r="AB19" s="10"/>
      <c r="AC19" s="2"/>
      <c r="AD19" s="2">
        <v>1</v>
      </c>
      <c r="AE19" s="2"/>
      <c r="AF19" s="2"/>
      <c r="AG19" s="2"/>
      <c r="AH19" s="10"/>
      <c r="AI19" s="2"/>
      <c r="AJ19" s="2">
        <v>1</v>
      </c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>
        <v>1</v>
      </c>
      <c r="F20" s="2"/>
      <c r="G20" s="2"/>
      <c r="H20" s="10"/>
      <c r="I20" s="2"/>
      <c r="J20" s="2"/>
      <c r="K20" s="2">
        <v>1</v>
      </c>
      <c r="L20" s="2"/>
      <c r="M20" s="2"/>
      <c r="N20" s="10">
        <v>1</v>
      </c>
      <c r="O20" s="2"/>
      <c r="P20" s="2"/>
      <c r="Q20" s="2">
        <v>1</v>
      </c>
      <c r="R20" s="2"/>
      <c r="S20" s="2"/>
      <c r="T20" s="10"/>
      <c r="V20" s="11" t="s">
        <v>9</v>
      </c>
      <c r="W20" s="22"/>
      <c r="X20" s="2"/>
      <c r="Y20" s="2">
        <v>1</v>
      </c>
      <c r="Z20" s="2"/>
      <c r="AA20" s="2"/>
      <c r="AB20" s="10">
        <v>1</v>
      </c>
      <c r="AC20" s="2"/>
      <c r="AD20" s="2"/>
      <c r="AE20" s="2">
        <v>1</v>
      </c>
      <c r="AF20" s="2"/>
      <c r="AG20" s="2"/>
      <c r="AH20" s="10"/>
      <c r="AI20" s="2"/>
      <c r="AJ20" s="2"/>
      <c r="AK20" s="2">
        <v>1</v>
      </c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>
        <v>1</v>
      </c>
      <c r="G21" s="2"/>
      <c r="H21" s="10"/>
      <c r="I21" s="2"/>
      <c r="J21" s="2"/>
      <c r="K21" s="2"/>
      <c r="L21" s="2">
        <v>1</v>
      </c>
      <c r="M21" s="2"/>
      <c r="N21" s="10"/>
      <c r="O21" s="2"/>
      <c r="P21" s="2"/>
      <c r="Q21" s="2"/>
      <c r="R21" s="2">
        <v>1</v>
      </c>
      <c r="S21" s="2"/>
      <c r="T21" s="10"/>
      <c r="V21" s="11" t="s">
        <v>10</v>
      </c>
      <c r="W21" s="22"/>
      <c r="X21" s="2"/>
      <c r="Y21" s="2"/>
      <c r="Z21" s="2">
        <v>1</v>
      </c>
      <c r="AA21" s="2"/>
      <c r="AB21" s="10">
        <v>1</v>
      </c>
      <c r="AC21" s="2"/>
      <c r="AD21" s="2"/>
      <c r="AE21" s="2"/>
      <c r="AF21" s="2">
        <v>1</v>
      </c>
      <c r="AG21" s="2">
        <v>1</v>
      </c>
      <c r="AH21" s="10">
        <v>1</v>
      </c>
      <c r="AI21" s="2"/>
      <c r="AJ21" s="2"/>
      <c r="AK21" s="2"/>
      <c r="AL21" s="2">
        <v>1</v>
      </c>
      <c r="AM21" s="2"/>
      <c r="AN21" s="10">
        <v>1</v>
      </c>
    </row>
    <row r="22" spans="2:40">
      <c r="B22" s="11" t="s">
        <v>11</v>
      </c>
      <c r="C22" s="22"/>
      <c r="E22" s="2"/>
      <c r="F22" s="2"/>
      <c r="G22" s="2">
        <v>1</v>
      </c>
      <c r="H22" s="10"/>
      <c r="I22" s="2"/>
      <c r="K22" s="2">
        <v>1</v>
      </c>
      <c r="L22" s="2"/>
      <c r="M22" s="2">
        <v>1</v>
      </c>
      <c r="N22" s="10"/>
      <c r="O22" s="2"/>
      <c r="Q22" s="2"/>
      <c r="R22" s="2"/>
      <c r="S22" s="2">
        <v>1</v>
      </c>
      <c r="T22" s="10"/>
      <c r="V22" s="11" t="s">
        <v>11</v>
      </c>
      <c r="W22" s="1">
        <v>1</v>
      </c>
      <c r="X22" s="2"/>
      <c r="Z22" s="2"/>
      <c r="AA22" s="2">
        <v>1</v>
      </c>
      <c r="AB22" s="10"/>
      <c r="AC22" s="2"/>
      <c r="AD22" s="2"/>
      <c r="AE22" s="2"/>
      <c r="AF22" s="2"/>
      <c r="AG22" s="2">
        <v>1</v>
      </c>
      <c r="AH22" s="10">
        <v>1</v>
      </c>
      <c r="AI22" s="2"/>
      <c r="AJ22" s="2"/>
      <c r="AK22" s="2"/>
      <c r="AL22" s="2"/>
      <c r="AM22" s="2">
        <v>1</v>
      </c>
      <c r="AN22" s="10"/>
    </row>
    <row r="23" spans="2:40" ht="15.75" thickBot="1">
      <c r="B23" s="12" t="s">
        <v>12</v>
      </c>
      <c r="C23" s="23">
        <v>1</v>
      </c>
      <c r="D23" s="2"/>
      <c r="E23" s="13"/>
      <c r="F23" s="13"/>
      <c r="G23" s="13"/>
      <c r="H23" s="14">
        <v>1</v>
      </c>
      <c r="I23" s="13"/>
      <c r="J23" s="2"/>
      <c r="K23" s="13"/>
      <c r="L23" s="13"/>
      <c r="M23" s="13"/>
      <c r="N23" s="14">
        <v>1</v>
      </c>
      <c r="O23" s="13"/>
      <c r="P23" s="2">
        <v>1</v>
      </c>
      <c r="Q23" s="13"/>
      <c r="R23" s="13"/>
      <c r="S23" s="13"/>
      <c r="T23" s="14">
        <v>1</v>
      </c>
      <c r="V23" s="12" t="s">
        <v>12</v>
      </c>
      <c r="W23" s="22">
        <v>3</v>
      </c>
      <c r="X23" s="13"/>
      <c r="Y23" s="2">
        <v>1</v>
      </c>
      <c r="Z23" s="13"/>
      <c r="AA23" s="13"/>
      <c r="AB23" s="14">
        <v>1</v>
      </c>
      <c r="AC23" s="13"/>
      <c r="AD23" s="13"/>
      <c r="AE23" s="13"/>
      <c r="AF23" s="13">
        <v>2</v>
      </c>
      <c r="AG23" s="13"/>
      <c r="AH23" s="14">
        <v>1</v>
      </c>
      <c r="AI23" s="13"/>
      <c r="AJ23" s="13"/>
      <c r="AK23" s="13"/>
      <c r="AL23" s="13"/>
      <c r="AM23" s="13"/>
      <c r="AN23" s="14">
        <v>1</v>
      </c>
    </row>
    <row r="24" spans="2:40" ht="15.75" thickBot="1">
      <c r="B24" s="35" t="s">
        <v>26</v>
      </c>
      <c r="C24" s="32">
        <f>SUM(C18:H23)</f>
        <v>8</v>
      </c>
      <c r="D24" s="16"/>
      <c r="E24" s="17"/>
      <c r="F24" s="17"/>
      <c r="G24" s="17"/>
      <c r="H24" s="18"/>
      <c r="I24" s="32">
        <f>SUM(I18:N23)</f>
        <v>10</v>
      </c>
      <c r="J24" s="17"/>
      <c r="K24" s="17"/>
      <c r="L24" s="17"/>
      <c r="M24" s="17"/>
      <c r="N24" s="18"/>
      <c r="O24" s="32">
        <f>SUM(O18:T23)</f>
        <v>7</v>
      </c>
      <c r="P24" s="17"/>
      <c r="Q24" s="17"/>
      <c r="R24" s="17"/>
      <c r="S24" s="17"/>
      <c r="T24" s="18"/>
      <c r="V24" s="35" t="s">
        <v>26</v>
      </c>
      <c r="W24" s="32">
        <f>SUM(W18:AB23)</f>
        <v>16</v>
      </c>
      <c r="X24" s="16"/>
      <c r="Y24" s="17"/>
      <c r="Z24" s="17"/>
      <c r="AA24" s="17"/>
      <c r="AB24" s="18"/>
      <c r="AC24" s="32">
        <f>SUM(AC18:AH23)</f>
        <v>11</v>
      </c>
      <c r="AD24" s="17"/>
      <c r="AE24" s="17"/>
      <c r="AF24" s="17"/>
      <c r="AG24" s="17"/>
      <c r="AH24" s="18"/>
      <c r="AI24" s="32">
        <f>SUM(AI18:AN23)</f>
        <v>7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25</v>
      </c>
      <c r="C26" s="85" t="s">
        <v>20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30</v>
      </c>
      <c r="W26" s="85" t="s">
        <v>20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>
        <v>1</v>
      </c>
      <c r="H29" s="21">
        <v>1</v>
      </c>
      <c r="I29" s="2">
        <v>1</v>
      </c>
      <c r="J29" s="2"/>
      <c r="K29" s="2"/>
      <c r="L29" s="2"/>
      <c r="M29" s="2"/>
      <c r="N29" s="10"/>
      <c r="O29" s="2">
        <v>1</v>
      </c>
      <c r="P29" s="2"/>
      <c r="Q29" s="2"/>
      <c r="R29" s="2"/>
      <c r="S29" s="2"/>
      <c r="T29" s="10"/>
      <c r="V29" s="11" t="s">
        <v>7</v>
      </c>
      <c r="W29" s="19">
        <v>1</v>
      </c>
      <c r="X29" s="20"/>
      <c r="Y29" s="20"/>
      <c r="Z29" s="20"/>
      <c r="AA29" s="20">
        <v>1</v>
      </c>
      <c r="AB29" s="21"/>
      <c r="AC29" s="2">
        <v>1</v>
      </c>
      <c r="AD29" s="2">
        <v>2</v>
      </c>
      <c r="AE29" s="2"/>
      <c r="AF29" s="2"/>
      <c r="AG29" s="2">
        <v>1</v>
      </c>
      <c r="AH29" s="10"/>
      <c r="AI29" s="2">
        <v>1</v>
      </c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>
        <v>1</v>
      </c>
      <c r="E30" s="2"/>
      <c r="F30" s="2"/>
      <c r="G30" s="2"/>
      <c r="H30" s="10"/>
      <c r="I30" s="2"/>
      <c r="J30" s="2">
        <v>1</v>
      </c>
      <c r="K30" s="2"/>
      <c r="L30" s="2"/>
      <c r="M30" s="2"/>
      <c r="N30" s="10"/>
      <c r="O30" s="2"/>
      <c r="P30" s="2">
        <v>1</v>
      </c>
      <c r="Q30" s="2"/>
      <c r="R30" s="2"/>
      <c r="S30" s="2"/>
      <c r="T30" s="10"/>
      <c r="V30" s="11" t="s">
        <v>8</v>
      </c>
      <c r="W30" s="22">
        <v>1</v>
      </c>
      <c r="X30" s="2">
        <v>1</v>
      </c>
      <c r="Y30" s="2"/>
      <c r="Z30" s="2"/>
      <c r="AA30" s="2"/>
      <c r="AB30" s="10"/>
      <c r="AC30" s="2">
        <v>3</v>
      </c>
      <c r="AD30" s="2">
        <v>1</v>
      </c>
      <c r="AE30" s="2"/>
      <c r="AF30" s="2"/>
      <c r="AG30" s="2"/>
      <c r="AH30" s="10"/>
      <c r="AI30" s="2"/>
      <c r="AJ30" s="2">
        <v>1</v>
      </c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>
        <v>1</v>
      </c>
      <c r="F31" s="2"/>
      <c r="G31" s="2"/>
      <c r="H31" s="10"/>
      <c r="I31" s="2"/>
      <c r="J31" s="2"/>
      <c r="K31" s="2">
        <v>1</v>
      </c>
      <c r="L31" s="2"/>
      <c r="M31" s="2"/>
      <c r="N31" s="10"/>
      <c r="O31" s="2"/>
      <c r="P31" s="2"/>
      <c r="Q31" s="2">
        <v>1</v>
      </c>
      <c r="R31" s="2"/>
      <c r="S31" s="2"/>
      <c r="T31" s="10"/>
      <c r="V31" s="11" t="s">
        <v>9</v>
      </c>
      <c r="W31" s="22"/>
      <c r="X31" s="2"/>
      <c r="Y31" s="2">
        <v>1</v>
      </c>
      <c r="Z31" s="2"/>
      <c r="AA31" s="2"/>
      <c r="AB31" s="10"/>
      <c r="AC31" s="2"/>
      <c r="AD31" s="2"/>
      <c r="AE31" s="2">
        <v>1</v>
      </c>
      <c r="AF31" s="2"/>
      <c r="AG31" s="2"/>
      <c r="AH31" s="10"/>
      <c r="AI31" s="2"/>
      <c r="AJ31" s="2"/>
      <c r="AK31" s="2">
        <v>1</v>
      </c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>
        <v>1</v>
      </c>
      <c r="G32" s="2"/>
      <c r="H32" s="10"/>
      <c r="I32" s="2"/>
      <c r="J32" s="2"/>
      <c r="K32" s="2"/>
      <c r="L32" s="2">
        <v>1</v>
      </c>
      <c r="M32" s="2"/>
      <c r="N32" s="10"/>
      <c r="O32" s="2"/>
      <c r="P32" s="2"/>
      <c r="Q32" s="2"/>
      <c r="R32" s="2">
        <v>1</v>
      </c>
      <c r="S32" s="2"/>
      <c r="T32" s="10"/>
      <c r="V32" s="11" t="s">
        <v>10</v>
      </c>
      <c r="W32" s="22"/>
      <c r="X32" s="2"/>
      <c r="Y32" s="2"/>
      <c r="Z32" s="2">
        <v>1</v>
      </c>
      <c r="AA32" s="2"/>
      <c r="AB32" s="10"/>
      <c r="AC32" s="2"/>
      <c r="AD32" s="2"/>
      <c r="AE32" s="2"/>
      <c r="AF32" s="2">
        <v>1</v>
      </c>
      <c r="AG32" s="2"/>
      <c r="AH32" s="10"/>
      <c r="AI32" s="2"/>
      <c r="AJ32" s="2"/>
      <c r="AK32" s="2"/>
      <c r="AL32" s="2">
        <v>1</v>
      </c>
      <c r="AM32" s="2"/>
      <c r="AN32" s="10"/>
    </row>
    <row r="33" spans="2:40">
      <c r="B33" s="11" t="s">
        <v>11</v>
      </c>
      <c r="C33" s="22">
        <v>1</v>
      </c>
      <c r="D33" s="2"/>
      <c r="E33" s="2"/>
      <c r="F33" s="2"/>
      <c r="G33" s="2">
        <v>1</v>
      </c>
      <c r="H33" s="10"/>
      <c r="I33" s="2"/>
      <c r="J33" s="2"/>
      <c r="K33" s="2"/>
      <c r="M33" s="2">
        <v>1</v>
      </c>
      <c r="N33" s="10"/>
      <c r="O33" s="2">
        <v>1</v>
      </c>
      <c r="P33" s="2"/>
      <c r="Q33" s="2"/>
      <c r="R33" s="2"/>
      <c r="S33" s="2">
        <v>1</v>
      </c>
      <c r="T33" s="10"/>
      <c r="V33" s="11" t="s">
        <v>11</v>
      </c>
      <c r="W33" s="1">
        <v>1</v>
      </c>
      <c r="Z33" s="2"/>
      <c r="AA33" s="2">
        <v>1</v>
      </c>
      <c r="AB33" s="10"/>
      <c r="AC33" s="2"/>
      <c r="AD33" s="1">
        <v>1</v>
      </c>
      <c r="AE33" s="2"/>
      <c r="AF33" s="2"/>
      <c r="AG33" s="2">
        <v>1</v>
      </c>
      <c r="AH33" s="10"/>
      <c r="AI33" s="2"/>
      <c r="AJ33" s="2"/>
      <c r="AK33" s="2"/>
      <c r="AL33" s="2"/>
      <c r="AM33" s="2">
        <v>1</v>
      </c>
      <c r="AN33" s="10"/>
    </row>
    <row r="34" spans="2:40" ht="15.75" thickBot="1">
      <c r="B34" s="12" t="s">
        <v>12</v>
      </c>
      <c r="C34" s="23">
        <v>1</v>
      </c>
      <c r="D34" s="13"/>
      <c r="E34" s="13"/>
      <c r="F34" s="13"/>
      <c r="G34" s="13"/>
      <c r="H34" s="14">
        <v>1</v>
      </c>
      <c r="I34" s="13"/>
      <c r="J34" s="13"/>
      <c r="K34" s="13"/>
      <c r="L34" s="2"/>
      <c r="M34" s="13"/>
      <c r="N34" s="14">
        <v>1</v>
      </c>
      <c r="O34" s="13"/>
      <c r="P34" s="13"/>
      <c r="Q34" s="13"/>
      <c r="R34" s="13"/>
      <c r="S34" s="13"/>
      <c r="T34" s="14">
        <v>1</v>
      </c>
      <c r="V34" s="12" t="s">
        <v>12</v>
      </c>
      <c r="W34" s="22"/>
      <c r="X34" s="2"/>
      <c r="Y34" s="2"/>
      <c r="Z34" s="13"/>
      <c r="AA34" s="13"/>
      <c r="AB34" s="14">
        <v>1</v>
      </c>
      <c r="AC34" s="13"/>
      <c r="AD34" s="2"/>
      <c r="AE34" s="13"/>
      <c r="AF34" s="13"/>
      <c r="AG34" s="13"/>
      <c r="AH34" s="14">
        <v>1</v>
      </c>
      <c r="AI34" s="13"/>
      <c r="AJ34" s="13"/>
      <c r="AK34" s="13"/>
      <c r="AL34" s="13"/>
      <c r="AM34" s="13"/>
      <c r="AN34" s="14">
        <v>1</v>
      </c>
    </row>
    <row r="35" spans="2:40" ht="15.75" thickBot="1">
      <c r="B35" s="36" t="s">
        <v>26</v>
      </c>
      <c r="C35" s="32">
        <f>SUM(C29:H34)</f>
        <v>10</v>
      </c>
      <c r="D35" s="16"/>
      <c r="E35" s="17"/>
      <c r="F35" s="17"/>
      <c r="G35" s="17"/>
      <c r="H35" s="18"/>
      <c r="I35" s="32">
        <f>SUM(I29:N34)</f>
        <v>6</v>
      </c>
      <c r="J35" s="17"/>
      <c r="K35" s="17"/>
      <c r="L35" s="17"/>
      <c r="M35" s="17"/>
      <c r="N35" s="18"/>
      <c r="O35" s="32">
        <f>SUM(O29:T34)</f>
        <v>7</v>
      </c>
      <c r="P35" s="17"/>
      <c r="Q35" s="17"/>
      <c r="R35" s="17"/>
      <c r="S35" s="17"/>
      <c r="T35" s="18"/>
      <c r="V35" s="35" t="s">
        <v>26</v>
      </c>
      <c r="W35" s="32">
        <f>SUM(W29:AB34)</f>
        <v>9</v>
      </c>
      <c r="X35" s="16"/>
      <c r="Y35" s="17"/>
      <c r="Z35" s="17"/>
      <c r="AA35" s="17"/>
      <c r="AB35" s="18"/>
      <c r="AC35" s="32">
        <f>SUM(AC29:AH34)</f>
        <v>13</v>
      </c>
      <c r="AD35" s="17"/>
      <c r="AE35" s="17"/>
      <c r="AF35" s="17"/>
      <c r="AG35" s="17"/>
      <c r="AH35" s="18"/>
      <c r="AI35" s="32">
        <f>SUM(AI29:AN34)</f>
        <v>6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27</v>
      </c>
      <c r="C38" s="85" t="s">
        <v>20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29</v>
      </c>
      <c r="W38" s="85" t="s">
        <v>20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/>
      <c r="G41" s="20"/>
      <c r="H41" s="21"/>
      <c r="I41" s="2">
        <v>1</v>
      </c>
      <c r="J41" s="2"/>
      <c r="K41" s="2"/>
      <c r="L41" s="2"/>
      <c r="M41" s="2">
        <v>1</v>
      </c>
      <c r="N41" s="10"/>
      <c r="O41" s="2">
        <v>1</v>
      </c>
      <c r="P41" s="2"/>
      <c r="Q41" s="2"/>
      <c r="R41" s="2"/>
      <c r="S41" s="2">
        <v>1</v>
      </c>
      <c r="T41" s="10"/>
      <c r="V41" s="11" t="s">
        <v>7</v>
      </c>
      <c r="W41" s="19">
        <v>1</v>
      </c>
      <c r="X41" s="20"/>
      <c r="Y41" s="20"/>
      <c r="Z41" s="20"/>
      <c r="AA41" s="20">
        <v>2</v>
      </c>
      <c r="AB41" s="21">
        <v>1</v>
      </c>
      <c r="AC41" s="2">
        <v>1</v>
      </c>
      <c r="AD41" s="2"/>
      <c r="AE41" s="2"/>
      <c r="AF41" s="2"/>
      <c r="AG41" s="2"/>
      <c r="AH41" s="10"/>
      <c r="AI41" s="2">
        <v>1</v>
      </c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>
        <v>1</v>
      </c>
      <c r="E42" s="2"/>
      <c r="F42" s="2"/>
      <c r="G42" s="2"/>
      <c r="H42" s="10"/>
      <c r="I42" s="2"/>
      <c r="J42" s="2">
        <v>1</v>
      </c>
      <c r="K42" s="2"/>
      <c r="L42" s="2"/>
      <c r="M42" s="2"/>
      <c r="N42" s="10"/>
      <c r="O42" s="2"/>
      <c r="P42" s="2">
        <v>1</v>
      </c>
      <c r="Q42" s="2"/>
      <c r="R42" s="2"/>
      <c r="S42" s="2"/>
      <c r="T42" s="10"/>
      <c r="V42" s="11" t="s">
        <v>8</v>
      </c>
      <c r="W42" s="22"/>
      <c r="X42" s="2">
        <v>1</v>
      </c>
      <c r="Y42" s="2"/>
      <c r="Z42" s="2"/>
      <c r="AA42" s="2"/>
      <c r="AB42" s="10"/>
      <c r="AC42" s="2"/>
      <c r="AD42" s="2">
        <v>1</v>
      </c>
      <c r="AE42" s="2"/>
      <c r="AF42" s="2"/>
      <c r="AG42" s="2"/>
      <c r="AH42" s="10"/>
      <c r="AI42" s="2"/>
      <c r="AJ42" s="2">
        <v>1</v>
      </c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>
        <v>1</v>
      </c>
      <c r="F43" s="2"/>
      <c r="G43" s="2"/>
      <c r="H43" s="10"/>
      <c r="I43" s="2"/>
      <c r="J43" s="2"/>
      <c r="K43" s="2">
        <v>1</v>
      </c>
      <c r="L43" s="2"/>
      <c r="M43" s="2"/>
      <c r="N43" s="10"/>
      <c r="O43" s="2"/>
      <c r="P43" s="2"/>
      <c r="Q43" s="2">
        <v>1</v>
      </c>
      <c r="R43" s="2"/>
      <c r="S43" s="2"/>
      <c r="T43" s="10"/>
      <c r="V43" s="11" t="s">
        <v>9</v>
      </c>
      <c r="W43" s="22"/>
      <c r="X43" s="2"/>
      <c r="Y43" s="2">
        <v>1</v>
      </c>
      <c r="Z43" s="2"/>
      <c r="AA43" s="2"/>
      <c r="AB43" s="10"/>
      <c r="AC43" s="2"/>
      <c r="AD43" s="2"/>
      <c r="AE43" s="2">
        <v>1</v>
      </c>
      <c r="AF43" s="2"/>
      <c r="AG43" s="2"/>
      <c r="AH43" s="10"/>
      <c r="AI43" s="2"/>
      <c r="AJ43" s="2"/>
      <c r="AK43" s="2">
        <v>1</v>
      </c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>
        <v>1</v>
      </c>
      <c r="G44" s="2"/>
      <c r="H44" s="10"/>
      <c r="I44" s="2"/>
      <c r="J44" s="2"/>
      <c r="K44" s="2"/>
      <c r="L44" s="2">
        <v>1</v>
      </c>
      <c r="M44" s="2"/>
      <c r="N44" s="10"/>
      <c r="O44" s="2"/>
      <c r="P44" s="2"/>
      <c r="Q44" s="2"/>
      <c r="R44" s="2">
        <v>1</v>
      </c>
      <c r="S44" s="2"/>
      <c r="T44" s="10"/>
      <c r="V44" s="11" t="s">
        <v>10</v>
      </c>
      <c r="W44" s="22"/>
      <c r="X44" s="2"/>
      <c r="Y44" s="2"/>
      <c r="Z44" s="2">
        <v>1</v>
      </c>
      <c r="AA44" s="2"/>
      <c r="AB44" s="10"/>
      <c r="AC44" s="2"/>
      <c r="AD44" s="2"/>
      <c r="AE44" s="2"/>
      <c r="AF44" s="2">
        <v>1</v>
      </c>
      <c r="AG44" s="2"/>
      <c r="AH44" s="10"/>
      <c r="AI44" s="2"/>
      <c r="AJ44" s="2"/>
      <c r="AK44" s="2"/>
      <c r="AL44" s="2">
        <v>1</v>
      </c>
      <c r="AM44" s="2"/>
      <c r="AN44" s="10"/>
    </row>
    <row r="45" spans="2:40">
      <c r="B45" s="11" t="s">
        <v>11</v>
      </c>
      <c r="C45" s="22"/>
      <c r="D45" s="2"/>
      <c r="E45" s="2"/>
      <c r="F45" s="2"/>
      <c r="G45" s="2">
        <v>1</v>
      </c>
      <c r="H45" s="10"/>
      <c r="I45" s="2">
        <v>2</v>
      </c>
      <c r="J45" s="2"/>
      <c r="K45" s="2"/>
      <c r="L45" s="2"/>
      <c r="M45" s="2">
        <v>1</v>
      </c>
      <c r="N45" s="10"/>
      <c r="O45" s="2"/>
      <c r="P45" s="2"/>
      <c r="Q45" s="2"/>
      <c r="S45" s="2">
        <v>1</v>
      </c>
      <c r="T45" s="10"/>
      <c r="V45" s="11" t="s">
        <v>11</v>
      </c>
      <c r="W45" s="22">
        <v>2</v>
      </c>
      <c r="X45" s="2"/>
      <c r="Y45" s="2"/>
      <c r="Z45" s="2"/>
      <c r="AA45" s="2">
        <v>1</v>
      </c>
      <c r="AB45" s="10"/>
      <c r="AC45" s="2"/>
      <c r="AD45" s="2"/>
      <c r="AE45" s="2"/>
      <c r="AF45" s="2"/>
      <c r="AG45" s="2">
        <v>1</v>
      </c>
      <c r="AH45" s="10"/>
      <c r="AI45" s="2"/>
      <c r="AJ45" s="2"/>
      <c r="AK45" s="2"/>
      <c r="AL45" s="2"/>
      <c r="AM45" s="2">
        <v>1</v>
      </c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>
        <v>1</v>
      </c>
      <c r="I46" s="13"/>
      <c r="J46" s="13"/>
      <c r="K46" s="13"/>
      <c r="L46" s="13"/>
      <c r="M46" s="13"/>
      <c r="N46" s="14">
        <v>1</v>
      </c>
      <c r="O46" s="13"/>
      <c r="P46" s="13"/>
      <c r="Q46" s="13"/>
      <c r="R46" s="2"/>
      <c r="S46" s="13"/>
      <c r="T46" s="14">
        <v>1</v>
      </c>
      <c r="V46" s="12" t="s">
        <v>12</v>
      </c>
      <c r="W46" s="23"/>
      <c r="X46" s="13"/>
      <c r="Y46" s="13"/>
      <c r="Z46" s="13"/>
      <c r="AA46" s="13"/>
      <c r="AB46" s="14">
        <v>1</v>
      </c>
      <c r="AC46" s="13"/>
      <c r="AD46" s="13"/>
      <c r="AE46" s="13"/>
      <c r="AF46" s="13"/>
      <c r="AG46" s="13"/>
      <c r="AH46" s="14">
        <v>1</v>
      </c>
      <c r="AI46" s="13"/>
      <c r="AJ46" s="13"/>
      <c r="AK46" s="13"/>
      <c r="AL46" s="13"/>
      <c r="AM46" s="13"/>
      <c r="AN46" s="14">
        <v>1</v>
      </c>
    </row>
    <row r="47" spans="2:40" ht="15.75" thickBot="1">
      <c r="B47" s="36" t="s">
        <v>26</v>
      </c>
      <c r="C47" s="32">
        <f>SUM(C41:H46)</f>
        <v>6</v>
      </c>
      <c r="D47" s="16"/>
      <c r="E47" s="17"/>
      <c r="F47" s="17"/>
      <c r="G47" s="17"/>
      <c r="H47" s="18"/>
      <c r="I47" s="32">
        <f>SUM(I41:N46)</f>
        <v>9</v>
      </c>
      <c r="J47" s="17"/>
      <c r="K47" s="17"/>
      <c r="L47" s="17"/>
      <c r="M47" s="17"/>
      <c r="N47" s="18"/>
      <c r="O47" s="32">
        <f>SUM(O41:T46)</f>
        <v>7</v>
      </c>
      <c r="P47" s="17"/>
      <c r="Q47" s="17"/>
      <c r="R47" s="17"/>
      <c r="S47" s="17"/>
      <c r="T47" s="18"/>
      <c r="V47" s="35" t="s">
        <v>26</v>
      </c>
      <c r="W47" s="32">
        <f>SUM(W41:AB46)</f>
        <v>11</v>
      </c>
      <c r="X47" s="16"/>
      <c r="Y47" s="17"/>
      <c r="Z47" s="17"/>
      <c r="AA47" s="17"/>
      <c r="AB47" s="18"/>
      <c r="AC47" s="32">
        <f>SUM(AC41:AH46)</f>
        <v>6</v>
      </c>
      <c r="AD47" s="17"/>
      <c r="AE47" s="17"/>
      <c r="AF47" s="17"/>
      <c r="AG47" s="17"/>
      <c r="AH47" s="18"/>
      <c r="AI47" s="32">
        <f>SUM(AI41:AN46)</f>
        <v>6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42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40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40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40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1.6240000000000001</v>
      </c>
      <c r="D52" s="65">
        <f t="shared" ref="D52:H52" si="0">D6*$H$12</f>
        <v>0</v>
      </c>
      <c r="E52" s="65">
        <f t="shared" si="0"/>
        <v>0</v>
      </c>
      <c r="F52" s="65">
        <f t="shared" si="0"/>
        <v>0</v>
      </c>
      <c r="G52" s="65">
        <f t="shared" si="0"/>
        <v>0</v>
      </c>
      <c r="H52" s="65">
        <f t="shared" si="0"/>
        <v>0.86399999999999955</v>
      </c>
      <c r="I52" s="64">
        <f>I6*$N$12</f>
        <v>0.14900000000000002</v>
      </c>
      <c r="J52" s="65">
        <f t="shared" ref="J52:N52" si="1">J6*$N$12</f>
        <v>4.8999999999999488E-2</v>
      </c>
      <c r="K52" s="65">
        <f t="shared" si="1"/>
        <v>4.8999999999999488E-2</v>
      </c>
      <c r="L52" s="65">
        <f t="shared" si="1"/>
        <v>0</v>
      </c>
      <c r="M52" s="65">
        <f t="shared" si="1"/>
        <v>0.19899999999999984</v>
      </c>
      <c r="N52" s="65">
        <f t="shared" si="1"/>
        <v>0.89800000000000058</v>
      </c>
      <c r="O52" s="64">
        <f>O6*$T$12</f>
        <v>0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0.70000000000000018</v>
      </c>
    </row>
    <row r="53" spans="2:20">
      <c r="B53" s="26" t="s">
        <v>1</v>
      </c>
      <c r="C53" s="67">
        <f t="shared" ref="C53:H57" si="3">C7*$H$12</f>
        <v>1.4390000000000001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1.0490000000000004</v>
      </c>
      <c r="H53" s="63">
        <f t="shared" si="3"/>
        <v>0</v>
      </c>
      <c r="I53" s="67">
        <f t="shared" ref="I53:N57" si="4">I7*$N$12</f>
        <v>1.3500000000000005</v>
      </c>
      <c r="J53" s="63">
        <f t="shared" si="4"/>
        <v>0</v>
      </c>
      <c r="K53" s="63">
        <f t="shared" si="4"/>
        <v>0</v>
      </c>
      <c r="L53" s="63">
        <f t="shared" si="4"/>
        <v>0</v>
      </c>
      <c r="M53" s="63">
        <f t="shared" si="4"/>
        <v>0</v>
      </c>
      <c r="N53" s="63">
        <f t="shared" si="4"/>
        <v>0</v>
      </c>
      <c r="O53" s="67">
        <f t="shared" ref="O53:T57" si="5">O7*$T$12</f>
        <v>0.62899999999999956</v>
      </c>
      <c r="P53" s="63">
        <f t="shared" si="5"/>
        <v>0</v>
      </c>
      <c r="Q53" s="63">
        <f t="shared" si="5"/>
        <v>0</v>
      </c>
      <c r="R53" s="63">
        <f t="shared" si="5"/>
        <v>0</v>
      </c>
      <c r="S53" s="63">
        <f t="shared" si="5"/>
        <v>7.0000000000000284E-2</v>
      </c>
      <c r="T53" s="68">
        <f t="shared" si="5"/>
        <v>0</v>
      </c>
    </row>
    <row r="54" spans="2:20">
      <c r="B54" s="26" t="s">
        <v>2</v>
      </c>
      <c r="C54" s="67">
        <f t="shared" si="3"/>
        <v>2.4899999999999998</v>
      </c>
      <c r="D54" s="63">
        <f t="shared" si="3"/>
        <v>0</v>
      </c>
      <c r="E54" s="63">
        <f t="shared" si="3"/>
        <v>0</v>
      </c>
      <c r="F54" s="63">
        <f t="shared" si="3"/>
        <v>0</v>
      </c>
      <c r="G54" s="63">
        <f t="shared" si="3"/>
        <v>0</v>
      </c>
      <c r="H54" s="63">
        <f t="shared" si="3"/>
        <v>0</v>
      </c>
      <c r="I54" s="67">
        <f t="shared" si="4"/>
        <v>0.85300000000000065</v>
      </c>
      <c r="J54" s="63">
        <f t="shared" si="4"/>
        <v>0</v>
      </c>
      <c r="K54" s="63">
        <f t="shared" si="4"/>
        <v>0</v>
      </c>
      <c r="L54" s="63">
        <f t="shared" si="4"/>
        <v>0</v>
      </c>
      <c r="M54" s="63">
        <f t="shared" si="4"/>
        <v>0.49399999999999977</v>
      </c>
      <c r="N54" s="63">
        <f t="shared" si="4"/>
        <v>0</v>
      </c>
      <c r="O54" s="67">
        <f t="shared" si="5"/>
        <v>0.57000000000000028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0.12899999999999956</v>
      </c>
      <c r="T54" s="68">
        <f t="shared" si="5"/>
        <v>0</v>
      </c>
    </row>
    <row r="55" spans="2:20">
      <c r="B55" s="26" t="s">
        <v>3</v>
      </c>
      <c r="C55" s="67">
        <f t="shared" si="3"/>
        <v>1.9369999999999998</v>
      </c>
      <c r="D55" s="63">
        <f t="shared" si="3"/>
        <v>0</v>
      </c>
      <c r="E55" s="63">
        <f t="shared" si="3"/>
        <v>4.8999999999999932E-2</v>
      </c>
      <c r="F55" s="63">
        <f t="shared" si="3"/>
        <v>4.8999999999999932E-2</v>
      </c>
      <c r="G55" s="63">
        <f t="shared" si="3"/>
        <v>9.8999999999999311E-2</v>
      </c>
      <c r="H55" s="63">
        <f t="shared" si="3"/>
        <v>0.34700000000000042</v>
      </c>
      <c r="I55" s="67">
        <f t="shared" si="4"/>
        <v>0</v>
      </c>
      <c r="J55" s="63">
        <f t="shared" si="4"/>
        <v>0</v>
      </c>
      <c r="K55" s="63">
        <f t="shared" si="4"/>
        <v>0</v>
      </c>
      <c r="L55" s="63">
        <f t="shared" si="4"/>
        <v>0.24800000000000025</v>
      </c>
      <c r="M55" s="63">
        <f t="shared" si="4"/>
        <v>0.47900000000000009</v>
      </c>
      <c r="N55" s="63">
        <f t="shared" si="4"/>
        <v>0.61900000000000066</v>
      </c>
      <c r="O55" s="67">
        <f t="shared" si="5"/>
        <v>0</v>
      </c>
      <c r="P55" s="63">
        <f t="shared" si="5"/>
        <v>0</v>
      </c>
      <c r="Q55" s="63">
        <f t="shared" si="5"/>
        <v>0</v>
      </c>
      <c r="R55" s="63">
        <f t="shared" si="5"/>
        <v>0.57000000000000028</v>
      </c>
      <c r="S55" s="63">
        <f t="shared" si="5"/>
        <v>0</v>
      </c>
      <c r="T55" s="68">
        <f t="shared" si="5"/>
        <v>0.12899999999999956</v>
      </c>
    </row>
    <row r="56" spans="2:20">
      <c r="B56" s="26" t="s">
        <v>4</v>
      </c>
      <c r="C56" s="67">
        <f t="shared" si="3"/>
        <v>1.669</v>
      </c>
      <c r="D56" s="63">
        <f t="shared" si="3"/>
        <v>6.9999999999999396E-2</v>
      </c>
      <c r="E56" s="63">
        <f t="shared" si="3"/>
        <v>0</v>
      </c>
      <c r="F56" s="63">
        <f t="shared" si="3"/>
        <v>0</v>
      </c>
      <c r="G56" s="63">
        <f t="shared" si="3"/>
        <v>0.74900000000000011</v>
      </c>
      <c r="H56" s="63">
        <f t="shared" si="3"/>
        <v>0</v>
      </c>
      <c r="I56" s="67">
        <f t="shared" si="4"/>
        <v>0.94200000000000028</v>
      </c>
      <c r="J56" s="63">
        <f t="shared" si="4"/>
        <v>0.15100000000000069</v>
      </c>
      <c r="K56" s="63">
        <f t="shared" si="4"/>
        <v>0</v>
      </c>
      <c r="L56" s="63">
        <f t="shared" si="4"/>
        <v>0</v>
      </c>
      <c r="M56" s="63">
        <f t="shared" si="4"/>
        <v>0.24899999999999967</v>
      </c>
      <c r="N56" s="63">
        <f t="shared" si="4"/>
        <v>0</v>
      </c>
      <c r="O56" s="67">
        <f t="shared" si="5"/>
        <v>0.70000000000000018</v>
      </c>
      <c r="P56" s="63">
        <f t="shared" si="5"/>
        <v>0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1.7184999999999993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0.39800000000000013</v>
      </c>
      <c r="H57" s="70">
        <f t="shared" si="3"/>
        <v>0.31900000000000039</v>
      </c>
      <c r="I57" s="69">
        <f t="shared" si="4"/>
        <v>1.3500000000000005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0</v>
      </c>
      <c r="O57" s="69">
        <f t="shared" si="5"/>
        <v>0.70000000000000018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N58"/>
  <sheetViews>
    <sheetView topLeftCell="A19" zoomScale="50" zoomScaleNormal="50" workbookViewId="0">
      <selection activeCell="C52" sqref="C52"/>
    </sheetView>
  </sheetViews>
  <sheetFormatPr defaultRowHeight="15"/>
  <cols>
    <col min="1" max="2" width="9.140625" style="1"/>
    <col min="3" max="3" width="10.5703125" style="1" bestFit="1" customWidth="1"/>
    <col min="4" max="16384" width="9.140625" style="1"/>
  </cols>
  <sheetData>
    <row r="1" spans="1:40">
      <c r="A1" s="94" t="s">
        <v>13</v>
      </c>
      <c r="B1" s="94"/>
      <c r="C1" s="43"/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((3.349-2.9)/H12)+((4.424-4.325)/H12)</f>
        <v>0.22096774193548407</v>
      </c>
      <c r="D6" s="20">
        <f>(4.924-4.85)/H12</f>
        <v>2.983870967741965E-2</v>
      </c>
      <c r="E6" s="20"/>
      <c r="F6" s="20">
        <f>(3.674-3.6)/H12</f>
        <v>2.9838709677419292E-2</v>
      </c>
      <c r="G6" s="20">
        <f>((3.599-3.35)/H12)+((4.849-4.425)/H12)</f>
        <v>0.2713709677419357</v>
      </c>
      <c r="H6" s="21">
        <f>((2.899-D12)/H12)+((4.324-3.675)/H12)+((F12-4.925)/H12)</f>
        <v>0.44475806451612915</v>
      </c>
      <c r="I6" s="2">
        <f>(L12-6.05)/N12</f>
        <v>0.27380952380952367</v>
      </c>
      <c r="J6" s="2">
        <f>(6.049-6)/N12</f>
        <v>3.8888888888889195E-2</v>
      </c>
      <c r="K6" s="2">
        <f>(5.749-5.675)/N12</f>
        <v>5.8730158730158619E-2</v>
      </c>
      <c r="L6" s="2"/>
      <c r="M6" s="2"/>
      <c r="N6" s="10">
        <f>((5.674-J12)/N12)+((5.999-5.75)/N12)</f>
        <v>0.62539682539682573</v>
      </c>
      <c r="O6" s="1">
        <v>1</v>
      </c>
      <c r="P6" s="2"/>
      <c r="Q6" s="2"/>
      <c r="R6" s="2"/>
      <c r="S6" s="2"/>
      <c r="T6" s="10"/>
    </row>
    <row r="7" spans="1:40">
      <c r="B7" s="11" t="s">
        <v>1</v>
      </c>
      <c r="C7" s="22">
        <v>1</v>
      </c>
      <c r="D7" s="2"/>
      <c r="E7" s="2"/>
      <c r="F7" s="2"/>
      <c r="G7" s="2"/>
      <c r="H7" s="10"/>
      <c r="I7" s="2">
        <f>(5.574-J12)/N12</f>
        <v>0.34841269841269851</v>
      </c>
      <c r="J7" s="2"/>
      <c r="K7" s="2"/>
      <c r="L7" s="2"/>
      <c r="M7" s="2">
        <f>(6.074-5.825)/N12</f>
        <v>0.19761904761904739</v>
      </c>
      <c r="N7" s="10">
        <f>((5.824-5.575)/N12)+((6.424-6.075)/N12)</f>
        <v>0.47460317460317458</v>
      </c>
      <c r="O7" s="2"/>
      <c r="P7" s="2"/>
      <c r="Q7" s="2">
        <f>((6.474-6.425)/T12)+((R12-6.725)/T12)</f>
        <v>0.484403669724772</v>
      </c>
      <c r="S7" s="2"/>
      <c r="T7" s="10">
        <f>((6.424-P12)/T12)+((6.724-6.475)/T12)</f>
        <v>0.51009174311926775</v>
      </c>
    </row>
    <row r="8" spans="1:40">
      <c r="B8" s="11" t="s">
        <v>2</v>
      </c>
      <c r="C8" s="22">
        <v>1</v>
      </c>
      <c r="D8" s="2"/>
      <c r="E8" s="2"/>
      <c r="F8" s="2"/>
      <c r="G8" s="2"/>
      <c r="H8" s="10"/>
      <c r="I8" s="2">
        <f>((5.474-J12)/N12)+((L12-6.3)/N12)</f>
        <v>0.34444444444444466</v>
      </c>
      <c r="J8" s="2"/>
      <c r="K8" s="2">
        <f>(5.524-5.475)/N12</f>
        <v>3.8888888888889195E-2</v>
      </c>
      <c r="L8" s="2"/>
      <c r="M8" s="2"/>
      <c r="N8" s="10">
        <f>(6.299-5.525)/N12</f>
        <v>0.61428571428571443</v>
      </c>
      <c r="O8" s="2">
        <f>(6.849-P12)/T12</f>
        <v>0.83302752293577975</v>
      </c>
      <c r="P8" s="2"/>
      <c r="Q8" s="2"/>
      <c r="R8" s="2">
        <f>(R12-6.9)/T12</f>
        <v>7.3394495412843985E-2</v>
      </c>
      <c r="S8" s="2"/>
      <c r="T8" s="10">
        <f>(6.899-6.85)/T12</f>
        <v>8.9908256880734505E-2</v>
      </c>
    </row>
    <row r="9" spans="1:40">
      <c r="B9" s="11" t="s">
        <v>3</v>
      </c>
      <c r="C9" s="22">
        <f>((2.849-D12)/H12)+((3.449-3.15)/H12)+((F12-3.875)/H12)</f>
        <v>0.70685483870967736</v>
      </c>
      <c r="D9" s="2"/>
      <c r="E9" s="2">
        <f>(3.049-3)/H12</f>
        <v>1.9758064516129006E-2</v>
      </c>
      <c r="F9" s="2">
        <f>(3.149-3.1)/H12</f>
        <v>1.9758064516129006E-2</v>
      </c>
      <c r="G9" s="2">
        <f>(3.874-3.45)/H12</f>
        <v>0.17096774193548384</v>
      </c>
      <c r="H9" s="10">
        <f>((2.999-2.85)/H12)+((3.099-3.05)/H12)</f>
        <v>7.9838709677419517E-2</v>
      </c>
      <c r="I9" s="2">
        <v>1</v>
      </c>
      <c r="J9" s="2"/>
      <c r="K9" s="2"/>
      <c r="L9" s="2"/>
      <c r="M9" s="2"/>
      <c r="N9" s="10"/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(3.574-D12)/H12</f>
        <v>0.3705645161290323</v>
      </c>
      <c r="D10" s="2">
        <f>(4.924-4.85)/H12</f>
        <v>2.983870967741965E-2</v>
      </c>
      <c r="E10" s="2"/>
      <c r="F10" s="2"/>
      <c r="G10" s="2"/>
      <c r="H10" s="10">
        <f>((4.849-3.575)/H12)+((F12-4.925)/H12)</f>
        <v>0.59838709677419355</v>
      </c>
      <c r="I10" s="2">
        <f>(L12-6.05)/N12</f>
        <v>0.27380952380952367</v>
      </c>
      <c r="J10" s="2">
        <f>(6.049-6)/N12</f>
        <v>3.8888888888889195E-2</v>
      </c>
      <c r="K10" s="2">
        <f>((5.749-5.675)/N12)+((5.999-5.95)/N12)</f>
        <v>9.7619047619047106E-2</v>
      </c>
      <c r="L10" s="2"/>
      <c r="M10" s="2"/>
      <c r="N10" s="10">
        <f>((5.674-J12)/N12)+((5.949-5.75)/N12)</f>
        <v>0.58571428571428619</v>
      </c>
      <c r="O10" s="2">
        <f>1</f>
        <v>1</v>
      </c>
      <c r="P10" s="2"/>
      <c r="Q10" s="2"/>
      <c r="R10" s="2"/>
      <c r="S10" s="2"/>
      <c r="T10" s="10"/>
    </row>
    <row r="11" spans="1:40" ht="15.75" thickBot="1">
      <c r="B11" s="12" t="s">
        <v>5</v>
      </c>
      <c r="C11" s="23">
        <f>((F12-3.475)/H12)+((3.299-3.2)/H12)+((3.024-2.975)/H12)</f>
        <v>0.72903225806451588</v>
      </c>
      <c r="D11" s="13"/>
      <c r="E11" s="13"/>
      <c r="F11" s="13"/>
      <c r="G11" s="13">
        <f>(3.199-3.025)/H12</f>
        <v>7.0161290322580616E-2</v>
      </c>
      <c r="H11" s="14">
        <f>((2.974-D12)/H12)+((3.474-3.3)/H12)</f>
        <v>0.1987903225806455</v>
      </c>
      <c r="I11" s="13">
        <f>((5.399-J12)/N12)+((5.974-5.65)/N12)+((L12-6.275)/N12)</f>
        <v>0.56190476190476146</v>
      </c>
      <c r="J11" s="13"/>
      <c r="K11" s="13">
        <f>(5.649-5.475)/N12</f>
        <v>0.13809523809523841</v>
      </c>
      <c r="L11" s="13"/>
      <c r="M11" s="13"/>
      <c r="N11" s="14">
        <f>((5.474-5.4)/N12)+((6.274-5.975)/N12)</f>
        <v>0.29603174603174626</v>
      </c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22</v>
      </c>
      <c r="C12" s="32" t="s">
        <v>23</v>
      </c>
      <c r="D12" s="33">
        <v>2.6549999999999998</v>
      </c>
      <c r="E12" s="34" t="s">
        <v>24</v>
      </c>
      <c r="F12" s="33">
        <v>5.1349999999999998</v>
      </c>
      <c r="G12" s="30" t="s">
        <v>21</v>
      </c>
      <c r="H12" s="33">
        <f>F12-D12</f>
        <v>2.48</v>
      </c>
      <c r="I12" s="33" t="s">
        <v>23</v>
      </c>
      <c r="J12" s="33">
        <f>F12</f>
        <v>5.1349999999999998</v>
      </c>
      <c r="K12" s="33" t="s">
        <v>24</v>
      </c>
      <c r="L12" s="33">
        <v>6.3949999999999996</v>
      </c>
      <c r="M12" s="33" t="s">
        <v>21</v>
      </c>
      <c r="N12" s="33">
        <f>L12-J12</f>
        <v>1.2599999999999998</v>
      </c>
      <c r="O12" s="33" t="s">
        <v>23</v>
      </c>
      <c r="P12" s="33">
        <f>L12</f>
        <v>6.3949999999999996</v>
      </c>
      <c r="Q12" s="33" t="s">
        <v>24</v>
      </c>
      <c r="R12" s="33">
        <v>6.94</v>
      </c>
      <c r="S12" s="33" t="s">
        <v>21</v>
      </c>
      <c r="T12" s="18">
        <f>R12-P12</f>
        <v>0.54500000000000082</v>
      </c>
    </row>
    <row r="14" spans="1:40" ht="15.75" thickBot="1">
      <c r="B14" s="41" t="s">
        <v>31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20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28</v>
      </c>
      <c r="W15" s="85" t="s">
        <v>20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>
        <v>1</v>
      </c>
      <c r="D18" s="20"/>
      <c r="E18" s="20"/>
      <c r="F18" s="20"/>
      <c r="G18" s="20"/>
      <c r="H18" s="21">
        <v>2</v>
      </c>
      <c r="I18" s="1">
        <v>1</v>
      </c>
      <c r="J18" s="2">
        <v>1</v>
      </c>
      <c r="K18" s="2"/>
      <c r="L18" s="2"/>
      <c r="M18" s="2"/>
      <c r="N18" s="10"/>
      <c r="O18" s="2">
        <v>1</v>
      </c>
      <c r="P18" s="2"/>
      <c r="Q18" s="2"/>
      <c r="R18" s="2"/>
      <c r="S18" s="2"/>
      <c r="T18" s="10"/>
      <c r="V18" s="11" t="s">
        <v>7</v>
      </c>
      <c r="W18" s="19">
        <v>1</v>
      </c>
      <c r="X18" s="20"/>
      <c r="Y18" s="20"/>
      <c r="Z18" s="20">
        <v>1</v>
      </c>
      <c r="AA18" s="20">
        <v>1</v>
      </c>
      <c r="AB18" s="21"/>
      <c r="AC18" s="2">
        <v>1</v>
      </c>
      <c r="AD18" s="2"/>
      <c r="AE18" s="2"/>
      <c r="AF18" s="2"/>
      <c r="AG18" s="2"/>
      <c r="AH18" s="10"/>
      <c r="AI18" s="2">
        <v>1</v>
      </c>
      <c r="AJ18" s="2"/>
      <c r="AK18" s="2"/>
      <c r="AL18" s="2"/>
      <c r="AM18" s="2"/>
      <c r="AN18" s="10"/>
    </row>
    <row r="19" spans="2:40">
      <c r="B19" s="11" t="s">
        <v>8</v>
      </c>
      <c r="C19" s="22"/>
      <c r="D19" s="2">
        <v>1</v>
      </c>
      <c r="E19" s="2"/>
      <c r="F19" s="2"/>
      <c r="G19" s="2">
        <v>1</v>
      </c>
      <c r="H19" s="10"/>
      <c r="I19" s="2"/>
      <c r="J19" s="2">
        <v>1</v>
      </c>
      <c r="K19" s="2"/>
      <c r="L19" s="2"/>
      <c r="M19" s="2"/>
      <c r="N19" s="10">
        <v>1</v>
      </c>
      <c r="O19" s="2"/>
      <c r="P19" s="2">
        <v>1</v>
      </c>
      <c r="Q19" s="2"/>
      <c r="R19" s="2"/>
      <c r="S19" s="2"/>
      <c r="T19" s="10"/>
      <c r="V19" s="11" t="s">
        <v>8</v>
      </c>
      <c r="W19" s="22"/>
      <c r="X19" s="2">
        <v>1</v>
      </c>
      <c r="Y19" s="2"/>
      <c r="Z19" s="2"/>
      <c r="AA19" s="2"/>
      <c r="AB19" s="10"/>
      <c r="AC19" s="2"/>
      <c r="AD19" s="2">
        <v>1</v>
      </c>
      <c r="AE19" s="2"/>
      <c r="AF19" s="2"/>
      <c r="AG19" s="2"/>
      <c r="AH19" s="10"/>
      <c r="AI19" s="2"/>
      <c r="AJ19" s="2">
        <v>1</v>
      </c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>
        <v>1</v>
      </c>
      <c r="F20" s="2"/>
      <c r="G20" s="2"/>
      <c r="H20" s="10"/>
      <c r="I20" s="2"/>
      <c r="J20" s="2"/>
      <c r="K20" s="2">
        <v>1</v>
      </c>
      <c r="L20" s="2"/>
      <c r="M20" s="2"/>
      <c r="N20" s="10">
        <v>1</v>
      </c>
      <c r="O20" s="2"/>
      <c r="P20" s="2"/>
      <c r="Q20" s="2">
        <v>1</v>
      </c>
      <c r="R20" s="2"/>
      <c r="S20" s="2"/>
      <c r="T20" s="10"/>
      <c r="V20" s="11" t="s">
        <v>9</v>
      </c>
      <c r="W20" s="22"/>
      <c r="X20" s="2"/>
      <c r="Y20" s="2">
        <v>1</v>
      </c>
      <c r="Z20" s="2"/>
      <c r="AA20" s="2"/>
      <c r="AB20" s="10">
        <v>1</v>
      </c>
      <c r="AC20" s="2"/>
      <c r="AD20" s="2"/>
      <c r="AE20" s="2">
        <v>1</v>
      </c>
      <c r="AF20" s="2"/>
      <c r="AG20" s="2"/>
      <c r="AH20" s="10"/>
      <c r="AI20" s="2"/>
      <c r="AJ20" s="2"/>
      <c r="AK20" s="2">
        <v>1</v>
      </c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>
        <v>1</v>
      </c>
      <c r="G21" s="2">
        <v>1</v>
      </c>
      <c r="H21" s="10"/>
      <c r="I21" s="2"/>
      <c r="J21" s="2"/>
      <c r="K21" s="2"/>
      <c r="L21" s="2">
        <v>1</v>
      </c>
      <c r="M21" s="2"/>
      <c r="N21" s="10"/>
      <c r="O21" s="2"/>
      <c r="P21" s="2"/>
      <c r="Q21" s="2"/>
      <c r="R21" s="2">
        <v>1</v>
      </c>
      <c r="S21" s="2"/>
      <c r="T21" s="10"/>
      <c r="V21" s="11" t="s">
        <v>10</v>
      </c>
      <c r="W21" s="22"/>
      <c r="X21" s="2"/>
      <c r="Y21" s="2"/>
      <c r="Z21" s="2">
        <v>1</v>
      </c>
      <c r="AA21" s="2"/>
      <c r="AB21" s="10">
        <v>1</v>
      </c>
      <c r="AC21" s="2"/>
      <c r="AD21" s="2"/>
      <c r="AE21" s="2"/>
      <c r="AF21" s="2">
        <v>1</v>
      </c>
      <c r="AG21" s="2"/>
      <c r="AH21" s="10"/>
      <c r="AI21" s="2"/>
      <c r="AJ21" s="2"/>
      <c r="AK21" s="2"/>
      <c r="AL21" s="2">
        <v>1</v>
      </c>
      <c r="AM21" s="2"/>
      <c r="AN21" s="10"/>
    </row>
    <row r="22" spans="2:40">
      <c r="B22" s="11" t="s">
        <v>11</v>
      </c>
      <c r="C22" s="22">
        <v>2</v>
      </c>
      <c r="E22" s="2"/>
      <c r="F22" s="2"/>
      <c r="G22" s="2">
        <v>1</v>
      </c>
      <c r="H22" s="10"/>
      <c r="I22" s="2"/>
      <c r="K22" s="2"/>
      <c r="L22" s="2"/>
      <c r="M22" s="2">
        <v>1</v>
      </c>
      <c r="N22" s="10"/>
      <c r="O22" s="2"/>
      <c r="Q22" s="2"/>
      <c r="R22" s="2"/>
      <c r="S22" s="2">
        <v>1</v>
      </c>
      <c r="T22" s="10"/>
      <c r="V22" s="11" t="s">
        <v>11</v>
      </c>
      <c r="W22" s="1">
        <v>1</v>
      </c>
      <c r="X22" s="2"/>
      <c r="Z22" s="2"/>
      <c r="AA22" s="2">
        <v>1</v>
      </c>
      <c r="AB22" s="10"/>
      <c r="AC22" s="2"/>
      <c r="AD22" s="2"/>
      <c r="AE22" s="2"/>
      <c r="AF22" s="2"/>
      <c r="AG22" s="2">
        <v>1</v>
      </c>
      <c r="AH22" s="10"/>
      <c r="AI22" s="2"/>
      <c r="AJ22" s="2"/>
      <c r="AK22" s="2"/>
      <c r="AL22" s="2"/>
      <c r="AM22" s="2">
        <v>1</v>
      </c>
      <c r="AN22" s="10"/>
    </row>
    <row r="23" spans="2:40" ht="15.75" thickBot="1">
      <c r="B23" s="12" t="s">
        <v>12</v>
      </c>
      <c r="C23" s="23"/>
      <c r="D23" s="2">
        <v>1</v>
      </c>
      <c r="E23" s="13"/>
      <c r="F23" s="13">
        <v>1</v>
      </c>
      <c r="G23" s="13"/>
      <c r="H23" s="14">
        <v>1</v>
      </c>
      <c r="I23" s="13"/>
      <c r="J23" s="2"/>
      <c r="K23" s="13"/>
      <c r="L23" s="13">
        <v>1</v>
      </c>
      <c r="M23" s="13"/>
      <c r="N23" s="14">
        <v>1</v>
      </c>
      <c r="O23" s="13"/>
      <c r="P23" s="2"/>
      <c r="Q23" s="13"/>
      <c r="R23" s="13"/>
      <c r="S23" s="13"/>
      <c r="T23" s="14">
        <v>1</v>
      </c>
      <c r="V23" s="12" t="s">
        <v>12</v>
      </c>
      <c r="W23" s="22">
        <v>1</v>
      </c>
      <c r="X23" s="13"/>
      <c r="Y23" s="2">
        <v>1</v>
      </c>
      <c r="Z23" s="13"/>
      <c r="AA23" s="13"/>
      <c r="AB23" s="14">
        <v>1</v>
      </c>
      <c r="AC23" s="13"/>
      <c r="AD23" s="13"/>
      <c r="AE23" s="13"/>
      <c r="AF23" s="13"/>
      <c r="AG23" s="13"/>
      <c r="AH23" s="14">
        <v>1</v>
      </c>
      <c r="AI23" s="13"/>
      <c r="AJ23" s="13"/>
      <c r="AK23" s="13"/>
      <c r="AL23" s="13"/>
      <c r="AM23" s="13"/>
      <c r="AN23" s="14">
        <v>1</v>
      </c>
    </row>
    <row r="24" spans="2:40" ht="15.75" thickBot="1">
      <c r="B24" s="35" t="s">
        <v>26</v>
      </c>
      <c r="C24" s="32">
        <f>SUM(C18:H23)</f>
        <v>14</v>
      </c>
      <c r="D24" s="16"/>
      <c r="E24" s="17"/>
      <c r="F24" s="17"/>
      <c r="G24" s="17"/>
      <c r="H24" s="18"/>
      <c r="I24" s="32">
        <f>SUM(I18:N23)</f>
        <v>10</v>
      </c>
      <c r="J24" s="17"/>
      <c r="K24" s="17"/>
      <c r="L24" s="17"/>
      <c r="M24" s="17"/>
      <c r="N24" s="18"/>
      <c r="O24" s="32">
        <f>SUM(O18:T23)</f>
        <v>6</v>
      </c>
      <c r="P24" s="17"/>
      <c r="Q24" s="17"/>
      <c r="R24" s="17"/>
      <c r="S24" s="17"/>
      <c r="T24" s="18"/>
      <c r="V24" s="35" t="s">
        <v>26</v>
      </c>
      <c r="W24" s="32">
        <f>SUM(W18:AB23)</f>
        <v>13</v>
      </c>
      <c r="X24" s="16"/>
      <c r="Y24" s="17"/>
      <c r="Z24" s="17"/>
      <c r="AA24" s="17"/>
      <c r="AB24" s="18"/>
      <c r="AC24" s="32">
        <f>SUM(AC18:AH23)</f>
        <v>6</v>
      </c>
      <c r="AD24" s="17"/>
      <c r="AE24" s="17"/>
      <c r="AF24" s="17"/>
      <c r="AG24" s="17"/>
      <c r="AH24" s="18"/>
      <c r="AI24" s="32">
        <f>SUM(AI18:AN23)</f>
        <v>6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25</v>
      </c>
      <c r="C26" s="85" t="s">
        <v>20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30</v>
      </c>
      <c r="W26" s="85" t="s">
        <v>20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/>
      <c r="H29" s="21"/>
      <c r="I29" s="2">
        <v>1</v>
      </c>
      <c r="J29" s="2"/>
      <c r="K29" s="2"/>
      <c r="L29" s="2"/>
      <c r="M29" s="2"/>
      <c r="N29" s="10"/>
      <c r="O29" s="2">
        <v>1</v>
      </c>
      <c r="P29" s="2"/>
      <c r="Q29" s="2"/>
      <c r="R29" s="2"/>
      <c r="S29" s="2"/>
      <c r="T29" s="10"/>
      <c r="V29" s="11" t="s">
        <v>7</v>
      </c>
      <c r="W29" s="19">
        <v>1</v>
      </c>
      <c r="X29" s="20"/>
      <c r="Y29" s="20"/>
      <c r="Z29" s="20"/>
      <c r="AA29" s="20"/>
      <c r="AB29" s="21"/>
      <c r="AC29" s="2">
        <v>1</v>
      </c>
      <c r="AD29" s="2">
        <v>1</v>
      </c>
      <c r="AE29" s="2"/>
      <c r="AF29" s="2"/>
      <c r="AG29" s="2"/>
      <c r="AH29" s="10"/>
      <c r="AI29" s="2">
        <v>1</v>
      </c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>
        <v>1</v>
      </c>
      <c r="E30" s="2"/>
      <c r="F30" s="2"/>
      <c r="G30" s="2"/>
      <c r="H30" s="10"/>
      <c r="I30" s="2"/>
      <c r="J30" s="2">
        <v>1</v>
      </c>
      <c r="K30" s="2"/>
      <c r="L30" s="2"/>
      <c r="M30" s="2"/>
      <c r="N30" s="10"/>
      <c r="O30" s="2"/>
      <c r="P30" s="2">
        <v>1</v>
      </c>
      <c r="Q30" s="2"/>
      <c r="R30" s="2"/>
      <c r="S30" s="2"/>
      <c r="T30" s="10"/>
      <c r="V30" s="11" t="s">
        <v>8</v>
      </c>
      <c r="W30" s="22"/>
      <c r="X30" s="2">
        <v>1</v>
      </c>
      <c r="Y30" s="2"/>
      <c r="Z30" s="2"/>
      <c r="AA30" s="2"/>
      <c r="AB30" s="10">
        <v>1</v>
      </c>
      <c r="AC30" s="2"/>
      <c r="AD30" s="2">
        <v>1</v>
      </c>
      <c r="AE30" s="2">
        <v>1</v>
      </c>
      <c r="AF30" s="2"/>
      <c r="AG30" s="2"/>
      <c r="AH30" s="10"/>
      <c r="AI30" s="2"/>
      <c r="AJ30" s="2">
        <v>1</v>
      </c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>
        <v>1</v>
      </c>
      <c r="F31" s="2"/>
      <c r="G31" s="2"/>
      <c r="H31" s="10"/>
      <c r="I31" s="2"/>
      <c r="J31" s="2"/>
      <c r="K31" s="2">
        <v>1</v>
      </c>
      <c r="L31" s="2"/>
      <c r="M31" s="2"/>
      <c r="N31" s="10">
        <v>1</v>
      </c>
      <c r="O31" s="2"/>
      <c r="P31" s="2"/>
      <c r="Q31" s="2">
        <v>1</v>
      </c>
      <c r="R31" s="2"/>
      <c r="S31" s="2"/>
      <c r="T31" s="10">
        <v>1</v>
      </c>
      <c r="V31" s="11" t="s">
        <v>9</v>
      </c>
      <c r="W31" s="22"/>
      <c r="X31" s="2"/>
      <c r="Y31" s="2">
        <v>1</v>
      </c>
      <c r="Z31" s="2"/>
      <c r="AA31" s="2"/>
      <c r="AB31" s="10"/>
      <c r="AC31" s="2"/>
      <c r="AD31" s="2"/>
      <c r="AE31" s="2">
        <v>1</v>
      </c>
      <c r="AF31" s="2"/>
      <c r="AG31" s="2"/>
      <c r="AH31" s="10">
        <v>2</v>
      </c>
      <c r="AI31" s="2"/>
      <c r="AJ31" s="2"/>
      <c r="AK31" s="2">
        <v>1</v>
      </c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>
        <v>1</v>
      </c>
      <c r="G32" s="2"/>
      <c r="H32" s="10"/>
      <c r="I32" s="2"/>
      <c r="J32" s="2"/>
      <c r="K32" s="2"/>
      <c r="L32" s="2">
        <v>1</v>
      </c>
      <c r="M32" s="2"/>
      <c r="N32" s="10"/>
      <c r="O32" s="2"/>
      <c r="P32" s="2"/>
      <c r="Q32" s="2"/>
      <c r="R32" s="2">
        <v>1</v>
      </c>
      <c r="S32" s="2"/>
      <c r="T32" s="10"/>
      <c r="V32" s="11" t="s">
        <v>10</v>
      </c>
      <c r="W32" s="22"/>
      <c r="X32" s="2"/>
      <c r="Y32" s="2"/>
      <c r="Z32" s="2">
        <v>1</v>
      </c>
      <c r="AA32" s="2"/>
      <c r="AB32" s="10"/>
      <c r="AC32" s="2"/>
      <c r="AD32" s="2"/>
      <c r="AE32" s="2"/>
      <c r="AF32" s="2">
        <v>1</v>
      </c>
      <c r="AG32" s="2"/>
      <c r="AH32" s="10"/>
      <c r="AI32" s="2"/>
      <c r="AJ32" s="2"/>
      <c r="AK32" s="2"/>
      <c r="AL32" s="2">
        <v>1</v>
      </c>
      <c r="AM32" s="2"/>
      <c r="AN32" s="10"/>
    </row>
    <row r="33" spans="2:40">
      <c r="B33" s="11" t="s">
        <v>11</v>
      </c>
      <c r="C33" s="22"/>
      <c r="D33" s="2"/>
      <c r="E33" s="2"/>
      <c r="F33" s="2"/>
      <c r="G33" s="2">
        <v>1</v>
      </c>
      <c r="H33" s="10"/>
      <c r="I33" s="2"/>
      <c r="J33" s="2"/>
      <c r="K33" s="2"/>
      <c r="M33" s="2">
        <v>1</v>
      </c>
      <c r="N33" s="10">
        <v>1</v>
      </c>
      <c r="O33" s="2"/>
      <c r="P33" s="2"/>
      <c r="Q33" s="2"/>
      <c r="R33" s="2"/>
      <c r="S33" s="2">
        <v>1</v>
      </c>
      <c r="T33" s="10"/>
      <c r="V33" s="11" t="s">
        <v>11</v>
      </c>
      <c r="Z33" s="2"/>
      <c r="AA33" s="2">
        <v>1</v>
      </c>
      <c r="AB33" s="10"/>
      <c r="AC33" s="2"/>
      <c r="AE33" s="2"/>
      <c r="AF33" s="2"/>
      <c r="AG33" s="2">
        <v>1</v>
      </c>
      <c r="AH33" s="10"/>
      <c r="AI33" s="2"/>
      <c r="AJ33" s="2"/>
      <c r="AK33" s="2"/>
      <c r="AL33" s="2"/>
      <c r="AM33" s="2">
        <v>1</v>
      </c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>
        <v>1</v>
      </c>
      <c r="I34" s="13">
        <v>1</v>
      </c>
      <c r="J34" s="13"/>
      <c r="K34" s="13"/>
      <c r="L34" s="2"/>
      <c r="M34" s="13">
        <v>1</v>
      </c>
      <c r="N34" s="14">
        <v>1</v>
      </c>
      <c r="O34" s="13"/>
      <c r="P34" s="13"/>
      <c r="Q34" s="13">
        <v>1</v>
      </c>
      <c r="R34" s="13"/>
      <c r="S34" s="13"/>
      <c r="T34" s="14">
        <v>1</v>
      </c>
      <c r="V34" s="12" t="s">
        <v>12</v>
      </c>
      <c r="W34" s="22">
        <v>1</v>
      </c>
      <c r="X34" s="2">
        <v>1</v>
      </c>
      <c r="Y34" s="2"/>
      <c r="Z34" s="13"/>
      <c r="AA34" s="13"/>
      <c r="AB34" s="14">
        <v>1</v>
      </c>
      <c r="AC34" s="13"/>
      <c r="AD34" s="2"/>
      <c r="AE34" s="13">
        <v>1</v>
      </c>
      <c r="AF34" s="13"/>
      <c r="AG34" s="13"/>
      <c r="AH34" s="14">
        <v>1</v>
      </c>
      <c r="AI34" s="13"/>
      <c r="AJ34" s="13"/>
      <c r="AK34" s="13"/>
      <c r="AL34" s="13"/>
      <c r="AM34" s="13"/>
      <c r="AN34" s="14">
        <v>1</v>
      </c>
    </row>
    <row r="35" spans="2:40" ht="15.75" thickBot="1">
      <c r="B35" s="36" t="s">
        <v>26</v>
      </c>
      <c r="C35" s="32">
        <f>SUM(C29:H34)</f>
        <v>6</v>
      </c>
      <c r="D35" s="16"/>
      <c r="E35" s="17"/>
      <c r="F35" s="17"/>
      <c r="G35" s="17"/>
      <c r="H35" s="18"/>
      <c r="I35" s="32">
        <f>SUM(I29:N34)</f>
        <v>10</v>
      </c>
      <c r="J35" s="17"/>
      <c r="K35" s="17"/>
      <c r="L35" s="17"/>
      <c r="M35" s="17"/>
      <c r="N35" s="18"/>
      <c r="O35" s="32">
        <f>SUM(O29:T34)</f>
        <v>8</v>
      </c>
      <c r="P35" s="17"/>
      <c r="Q35" s="17"/>
      <c r="R35" s="17"/>
      <c r="S35" s="17"/>
      <c r="T35" s="18"/>
      <c r="V35" s="35" t="s">
        <v>26</v>
      </c>
      <c r="W35" s="32">
        <f>SUM(W29:AB34)</f>
        <v>9</v>
      </c>
      <c r="X35" s="16"/>
      <c r="Y35" s="17"/>
      <c r="Z35" s="17"/>
      <c r="AA35" s="17"/>
      <c r="AB35" s="18"/>
      <c r="AC35" s="32">
        <f>SUM(AC29:AH34)</f>
        <v>11</v>
      </c>
      <c r="AD35" s="17"/>
      <c r="AE35" s="17"/>
      <c r="AF35" s="17"/>
      <c r="AG35" s="17"/>
      <c r="AH35" s="18"/>
      <c r="AI35" s="32">
        <f>SUM(AI29:AN34)</f>
        <v>6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27</v>
      </c>
      <c r="C38" s="85" t="s">
        <v>20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29</v>
      </c>
      <c r="W38" s="85" t="s">
        <v>20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/>
      <c r="G41" s="20"/>
      <c r="H41" s="21"/>
      <c r="I41" s="2">
        <v>1</v>
      </c>
      <c r="J41" s="2"/>
      <c r="K41" s="2"/>
      <c r="L41" s="2"/>
      <c r="M41" s="2"/>
      <c r="N41" s="10">
        <v>1</v>
      </c>
      <c r="O41" s="2">
        <v>1</v>
      </c>
      <c r="P41" s="2"/>
      <c r="Q41" s="2"/>
      <c r="R41" s="2"/>
      <c r="S41" s="2"/>
      <c r="T41" s="10"/>
      <c r="V41" s="11" t="s">
        <v>7</v>
      </c>
      <c r="W41" s="2">
        <v>1</v>
      </c>
      <c r="X41" s="2"/>
      <c r="Y41" s="2"/>
      <c r="Z41" s="2"/>
      <c r="AA41" s="2">
        <v>1</v>
      </c>
      <c r="AB41" s="10">
        <v>1</v>
      </c>
      <c r="AC41" s="19">
        <v>1</v>
      </c>
      <c r="AD41" s="20"/>
      <c r="AE41" s="20">
        <v>1</v>
      </c>
      <c r="AF41" s="20"/>
      <c r="AG41" s="20"/>
      <c r="AH41" s="21">
        <v>1</v>
      </c>
      <c r="AI41" s="2">
        <v>1</v>
      </c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>
        <v>1</v>
      </c>
      <c r="E42" s="2"/>
      <c r="F42" s="2"/>
      <c r="G42" s="2"/>
      <c r="H42" s="10"/>
      <c r="I42" s="2"/>
      <c r="J42" s="2">
        <v>1</v>
      </c>
      <c r="K42" s="2"/>
      <c r="L42" s="2"/>
      <c r="M42" s="2"/>
      <c r="N42" s="10"/>
      <c r="O42" s="2"/>
      <c r="P42" s="2">
        <v>1</v>
      </c>
      <c r="Q42" s="2"/>
      <c r="R42" s="2"/>
      <c r="S42" s="2"/>
      <c r="T42" s="10"/>
      <c r="V42" s="11" t="s">
        <v>8</v>
      </c>
      <c r="W42" s="2"/>
      <c r="X42" s="2">
        <v>1</v>
      </c>
      <c r="Y42" s="2"/>
      <c r="Z42" s="2"/>
      <c r="AA42" s="2"/>
      <c r="AB42" s="10"/>
      <c r="AC42" s="22"/>
      <c r="AD42" s="2">
        <v>1</v>
      </c>
      <c r="AE42" s="2"/>
      <c r="AF42" s="2"/>
      <c r="AG42" s="2"/>
      <c r="AH42" s="10"/>
      <c r="AI42" s="2"/>
      <c r="AJ42" s="2">
        <v>1</v>
      </c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>
        <v>1</v>
      </c>
      <c r="F43" s="2"/>
      <c r="G43" s="2"/>
      <c r="H43" s="10"/>
      <c r="I43" s="2">
        <v>1</v>
      </c>
      <c r="J43" s="2"/>
      <c r="K43" s="2">
        <v>1</v>
      </c>
      <c r="L43" s="2"/>
      <c r="M43" s="2"/>
      <c r="N43" s="10"/>
      <c r="O43" s="2"/>
      <c r="P43" s="2"/>
      <c r="Q43" s="2">
        <v>1</v>
      </c>
      <c r="R43" s="2"/>
      <c r="S43" s="2"/>
      <c r="T43" s="10"/>
      <c r="V43" s="11" t="s">
        <v>9</v>
      </c>
      <c r="W43" s="2"/>
      <c r="X43" s="2"/>
      <c r="Y43" s="2">
        <v>1</v>
      </c>
      <c r="Z43" s="2"/>
      <c r="AA43" s="2"/>
      <c r="AB43" s="10"/>
      <c r="AC43" s="22"/>
      <c r="AD43" s="2"/>
      <c r="AE43" s="2">
        <v>1</v>
      </c>
      <c r="AF43" s="2"/>
      <c r="AG43" s="2"/>
      <c r="AH43" s="10">
        <v>1</v>
      </c>
      <c r="AI43" s="2"/>
      <c r="AJ43" s="2"/>
      <c r="AK43" s="2">
        <v>1</v>
      </c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>
        <v>1</v>
      </c>
      <c r="G44" s="2"/>
      <c r="H44" s="10"/>
      <c r="I44" s="2"/>
      <c r="J44" s="2"/>
      <c r="K44" s="2"/>
      <c r="L44" s="2">
        <v>1</v>
      </c>
      <c r="M44" s="2"/>
      <c r="N44" s="10"/>
      <c r="O44" s="2"/>
      <c r="P44" s="2"/>
      <c r="Q44" s="2"/>
      <c r="R44" s="2">
        <v>1</v>
      </c>
      <c r="S44" s="2"/>
      <c r="T44" s="10">
        <v>1</v>
      </c>
      <c r="V44" s="11" t="s">
        <v>10</v>
      </c>
      <c r="W44" s="2"/>
      <c r="X44" s="2"/>
      <c r="Y44" s="2"/>
      <c r="Z44" s="2">
        <v>1</v>
      </c>
      <c r="AA44" s="2"/>
      <c r="AB44" s="10"/>
      <c r="AC44" s="22"/>
      <c r="AD44" s="2"/>
      <c r="AE44" s="2"/>
      <c r="AF44" s="2">
        <v>1</v>
      </c>
      <c r="AG44" s="2"/>
      <c r="AH44" s="10"/>
      <c r="AI44" s="2"/>
      <c r="AJ44" s="2"/>
      <c r="AK44" s="2"/>
      <c r="AL44" s="2">
        <v>1</v>
      </c>
      <c r="AM44" s="2"/>
      <c r="AN44" s="10"/>
    </row>
    <row r="45" spans="2:40">
      <c r="B45" s="11" t="s">
        <v>11</v>
      </c>
      <c r="C45" s="22"/>
      <c r="D45" s="2"/>
      <c r="E45" s="2"/>
      <c r="F45" s="2"/>
      <c r="G45" s="2">
        <v>1</v>
      </c>
      <c r="H45" s="10"/>
      <c r="I45" s="2"/>
      <c r="J45" s="2"/>
      <c r="K45" s="2"/>
      <c r="L45" s="2"/>
      <c r="M45" s="2">
        <v>1</v>
      </c>
      <c r="N45" s="10"/>
      <c r="O45" s="2"/>
      <c r="P45" s="2"/>
      <c r="Q45" s="2"/>
      <c r="S45" s="2">
        <v>1</v>
      </c>
      <c r="T45" s="10"/>
      <c r="V45" s="11" t="s">
        <v>11</v>
      </c>
      <c r="W45" s="2">
        <v>1</v>
      </c>
      <c r="X45" s="2"/>
      <c r="Y45" s="2"/>
      <c r="Z45" s="2"/>
      <c r="AA45" s="2">
        <v>1</v>
      </c>
      <c r="AB45" s="10"/>
      <c r="AC45" s="22"/>
      <c r="AD45" s="2"/>
      <c r="AE45" s="2"/>
      <c r="AF45" s="2"/>
      <c r="AG45" s="2">
        <v>1</v>
      </c>
      <c r="AH45" s="10"/>
      <c r="AI45" s="2"/>
      <c r="AJ45" s="2"/>
      <c r="AK45" s="2"/>
      <c r="AL45" s="2"/>
      <c r="AM45" s="2">
        <v>1</v>
      </c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>
        <v>1</v>
      </c>
      <c r="I46" s="13"/>
      <c r="J46" s="13"/>
      <c r="K46" s="13">
        <v>1</v>
      </c>
      <c r="L46" s="13"/>
      <c r="M46" s="13"/>
      <c r="N46" s="14">
        <v>1</v>
      </c>
      <c r="O46" s="13">
        <v>1</v>
      </c>
      <c r="P46" s="13"/>
      <c r="Q46" s="13"/>
      <c r="R46" s="2"/>
      <c r="S46" s="13"/>
      <c r="T46" s="14">
        <v>1</v>
      </c>
      <c r="V46" s="12" t="s">
        <v>12</v>
      </c>
      <c r="W46" s="13">
        <v>1</v>
      </c>
      <c r="X46" s="13"/>
      <c r="Y46" s="13"/>
      <c r="Z46" s="13"/>
      <c r="AA46" s="13"/>
      <c r="AB46" s="14">
        <v>1</v>
      </c>
      <c r="AC46" s="23">
        <v>2</v>
      </c>
      <c r="AD46" s="13"/>
      <c r="AE46" s="13"/>
      <c r="AF46" s="13"/>
      <c r="AG46" s="13"/>
      <c r="AH46" s="14">
        <v>1</v>
      </c>
      <c r="AI46" s="13"/>
      <c r="AJ46" s="13"/>
      <c r="AK46" s="13"/>
      <c r="AL46" s="13"/>
      <c r="AM46" s="13"/>
      <c r="AN46" s="14">
        <v>1</v>
      </c>
    </row>
    <row r="47" spans="2:40" ht="15.75" thickBot="1">
      <c r="B47" s="36" t="s">
        <v>26</v>
      </c>
      <c r="C47" s="32">
        <f>SUM(C41:H46)</f>
        <v>6</v>
      </c>
      <c r="D47" s="16"/>
      <c r="E47" s="17"/>
      <c r="F47" s="17"/>
      <c r="G47" s="17"/>
      <c r="H47" s="18"/>
      <c r="I47" s="32">
        <f>SUM(I41:N46)</f>
        <v>9</v>
      </c>
      <c r="J47" s="17"/>
      <c r="K47" s="17"/>
      <c r="L47" s="17"/>
      <c r="M47" s="17"/>
      <c r="N47" s="18"/>
      <c r="O47" s="32">
        <f>SUM(O41:T46)</f>
        <v>8</v>
      </c>
      <c r="P47" s="17"/>
      <c r="Q47" s="17"/>
      <c r="R47" s="17"/>
      <c r="S47" s="17"/>
      <c r="T47" s="18"/>
      <c r="V47" s="35" t="s">
        <v>26</v>
      </c>
      <c r="W47" s="32">
        <f>SUM(W41:AB46)</f>
        <v>10</v>
      </c>
      <c r="X47" s="16"/>
      <c r="Y47" s="17"/>
      <c r="Z47" s="17"/>
      <c r="AA47" s="17"/>
      <c r="AB47" s="18"/>
      <c r="AC47" s="32">
        <f>SUM(AC41:AH46)</f>
        <v>11</v>
      </c>
      <c r="AD47" s="17"/>
      <c r="AE47" s="17"/>
      <c r="AF47" s="17"/>
      <c r="AG47" s="17"/>
      <c r="AH47" s="18"/>
      <c r="AI47" s="32">
        <f>SUM(AI41:AN46)</f>
        <v>6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42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40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40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40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0.54800000000000049</v>
      </c>
      <c r="D52" s="65">
        <f t="shared" ref="D52:H52" si="0">D6*$H$12</f>
        <v>7.4000000000000732E-2</v>
      </c>
      <c r="E52" s="65">
        <f t="shared" si="0"/>
        <v>0</v>
      </c>
      <c r="F52" s="65">
        <f t="shared" si="0"/>
        <v>7.3999999999999844E-2</v>
      </c>
      <c r="G52" s="65">
        <f t="shared" si="0"/>
        <v>0.67300000000000049</v>
      </c>
      <c r="H52" s="65">
        <f t="shared" si="0"/>
        <v>1.1030000000000002</v>
      </c>
      <c r="I52" s="64">
        <f>I6*$N$12</f>
        <v>0.34499999999999975</v>
      </c>
      <c r="J52" s="65">
        <f t="shared" ref="J52:N52" si="1">J6*$N$12</f>
        <v>4.9000000000000377E-2</v>
      </c>
      <c r="K52" s="65">
        <f t="shared" si="1"/>
        <v>7.3999999999999844E-2</v>
      </c>
      <c r="L52" s="65">
        <f t="shared" si="1"/>
        <v>0</v>
      </c>
      <c r="M52" s="65">
        <f t="shared" si="1"/>
        <v>0</v>
      </c>
      <c r="N52" s="65">
        <f t="shared" si="1"/>
        <v>0.78800000000000026</v>
      </c>
      <c r="O52" s="64">
        <f>O6*$T$12</f>
        <v>0.54500000000000082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</v>
      </c>
    </row>
    <row r="53" spans="2:20">
      <c r="B53" s="26" t="s">
        <v>1</v>
      </c>
      <c r="C53" s="67">
        <f t="shared" ref="C53:H57" si="3">C7*$H$12</f>
        <v>2.48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</v>
      </c>
      <c r="H53" s="63">
        <f t="shared" si="3"/>
        <v>0</v>
      </c>
      <c r="I53" s="67">
        <f t="shared" ref="I53:N57" si="4">I7*$N$12</f>
        <v>0.43900000000000006</v>
      </c>
      <c r="J53" s="63">
        <f t="shared" si="4"/>
        <v>0</v>
      </c>
      <c r="K53" s="63">
        <f t="shared" si="4"/>
        <v>0</v>
      </c>
      <c r="L53" s="63">
        <f t="shared" si="4"/>
        <v>0</v>
      </c>
      <c r="M53" s="63">
        <f t="shared" si="4"/>
        <v>0.24899999999999967</v>
      </c>
      <c r="N53" s="63">
        <f t="shared" si="4"/>
        <v>0.59799999999999986</v>
      </c>
      <c r="O53" s="67">
        <f t="shared" ref="O53:T57" si="5">O7*$T$12</f>
        <v>0</v>
      </c>
      <c r="P53" s="63">
        <f t="shared" si="5"/>
        <v>0</v>
      </c>
      <c r="Q53" s="63">
        <f t="shared" si="5"/>
        <v>0.26400000000000112</v>
      </c>
      <c r="R53" s="63">
        <f t="shared" si="5"/>
        <v>0</v>
      </c>
      <c r="S53" s="63">
        <f t="shared" si="5"/>
        <v>0</v>
      </c>
      <c r="T53" s="68">
        <f t="shared" si="5"/>
        <v>0.27800000000000136</v>
      </c>
    </row>
    <row r="54" spans="2:20">
      <c r="B54" s="26" t="s">
        <v>2</v>
      </c>
      <c r="C54" s="67">
        <f t="shared" si="3"/>
        <v>2.48</v>
      </c>
      <c r="D54" s="63">
        <f t="shared" si="3"/>
        <v>0</v>
      </c>
      <c r="E54" s="63">
        <f t="shared" si="3"/>
        <v>0</v>
      </c>
      <c r="F54" s="63">
        <f t="shared" si="3"/>
        <v>0</v>
      </c>
      <c r="G54" s="63">
        <f t="shared" si="3"/>
        <v>0</v>
      </c>
      <c r="H54" s="63">
        <f t="shared" si="3"/>
        <v>0</v>
      </c>
      <c r="I54" s="67">
        <f t="shared" si="4"/>
        <v>0.43400000000000022</v>
      </c>
      <c r="J54" s="63">
        <f t="shared" si="4"/>
        <v>0</v>
      </c>
      <c r="K54" s="63">
        <f t="shared" si="4"/>
        <v>4.9000000000000377E-2</v>
      </c>
      <c r="L54" s="63">
        <f t="shared" si="4"/>
        <v>0</v>
      </c>
      <c r="M54" s="63">
        <f t="shared" si="4"/>
        <v>0</v>
      </c>
      <c r="N54" s="63">
        <f t="shared" si="4"/>
        <v>0.77400000000000002</v>
      </c>
      <c r="O54" s="67">
        <f t="shared" si="5"/>
        <v>0.45400000000000063</v>
      </c>
      <c r="P54" s="63">
        <f t="shared" si="5"/>
        <v>0</v>
      </c>
      <c r="Q54" s="63">
        <f t="shared" si="5"/>
        <v>0</v>
      </c>
      <c r="R54" s="63">
        <f t="shared" si="5"/>
        <v>4.0000000000000029E-2</v>
      </c>
      <c r="S54" s="63">
        <f t="shared" si="5"/>
        <v>0</v>
      </c>
      <c r="T54" s="68">
        <f t="shared" si="5"/>
        <v>4.9000000000000377E-2</v>
      </c>
    </row>
    <row r="55" spans="2:20">
      <c r="B55" s="26" t="s">
        <v>3</v>
      </c>
      <c r="C55" s="67">
        <f t="shared" si="3"/>
        <v>1.7529999999999999</v>
      </c>
      <c r="D55" s="63">
        <f t="shared" si="3"/>
        <v>0</v>
      </c>
      <c r="E55" s="63">
        <f t="shared" si="3"/>
        <v>4.8999999999999932E-2</v>
      </c>
      <c r="F55" s="63">
        <f t="shared" si="3"/>
        <v>4.8999999999999932E-2</v>
      </c>
      <c r="G55" s="63">
        <f t="shared" si="3"/>
        <v>0.42399999999999993</v>
      </c>
      <c r="H55" s="63">
        <f t="shared" si="3"/>
        <v>0.1980000000000004</v>
      </c>
      <c r="I55" s="67">
        <f t="shared" si="4"/>
        <v>1.2599999999999998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</v>
      </c>
      <c r="O55" s="67">
        <f t="shared" si="5"/>
        <v>0.54500000000000082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0.91900000000000004</v>
      </c>
      <c r="D56" s="63">
        <f t="shared" si="3"/>
        <v>7.4000000000000732E-2</v>
      </c>
      <c r="E56" s="63">
        <f t="shared" si="3"/>
        <v>0</v>
      </c>
      <c r="F56" s="63">
        <f t="shared" si="3"/>
        <v>0</v>
      </c>
      <c r="G56" s="63">
        <f t="shared" si="3"/>
        <v>0</v>
      </c>
      <c r="H56" s="63">
        <f t="shared" si="3"/>
        <v>1.484</v>
      </c>
      <c r="I56" s="67">
        <f t="shared" si="4"/>
        <v>0.34499999999999975</v>
      </c>
      <c r="J56" s="63">
        <f t="shared" si="4"/>
        <v>4.9000000000000377E-2</v>
      </c>
      <c r="K56" s="63">
        <f t="shared" si="4"/>
        <v>0.12299999999999933</v>
      </c>
      <c r="L56" s="63">
        <f t="shared" si="4"/>
        <v>0</v>
      </c>
      <c r="M56" s="63">
        <f t="shared" si="4"/>
        <v>0</v>
      </c>
      <c r="N56" s="63">
        <f t="shared" si="4"/>
        <v>0.73800000000000043</v>
      </c>
      <c r="O56" s="67">
        <f t="shared" si="5"/>
        <v>0.54500000000000082</v>
      </c>
      <c r="P56" s="63">
        <f t="shared" si="5"/>
        <v>0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1.8079999999999994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0.17399999999999993</v>
      </c>
      <c r="H57" s="70">
        <f t="shared" si="3"/>
        <v>0.49300000000000083</v>
      </c>
      <c r="I57" s="69">
        <f t="shared" si="4"/>
        <v>0.7079999999999993</v>
      </c>
      <c r="J57" s="70">
        <f t="shared" si="4"/>
        <v>0</v>
      </c>
      <c r="K57" s="70">
        <f t="shared" si="4"/>
        <v>0.17400000000000038</v>
      </c>
      <c r="L57" s="70">
        <f t="shared" si="4"/>
        <v>0</v>
      </c>
      <c r="M57" s="70">
        <f t="shared" si="4"/>
        <v>0</v>
      </c>
      <c r="N57" s="70">
        <f t="shared" si="4"/>
        <v>0.37300000000000022</v>
      </c>
      <c r="O57" s="69">
        <f t="shared" si="5"/>
        <v>0.54500000000000082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N58"/>
  <sheetViews>
    <sheetView tabSelected="1" zoomScale="70" zoomScaleNormal="70" workbookViewId="0">
      <selection activeCell="C12" sqref="C12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33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(4.999-2.9)/H12</f>
        <v>0.81992187499999991</v>
      </c>
      <c r="D6" s="20">
        <f>(5.049-5)/H12</f>
        <v>1.9140625000000147E-2</v>
      </c>
      <c r="E6" s="20">
        <f>(5.124-5.05)/H12</f>
        <v>2.8906249999999939E-2</v>
      </c>
      <c r="F6" s="20"/>
      <c r="G6" s="20">
        <f>(F12-5.125)/H12</f>
        <v>3.5156249999999944E-2</v>
      </c>
      <c r="H6" s="21">
        <f>(2.899-D12)/H12</f>
        <v>9.5312500000000078E-2</v>
      </c>
      <c r="I6" s="2">
        <f>((5.899-5.4)/N12)+((L12-6.15)/N12)</f>
        <v>0.65803921568627399</v>
      </c>
      <c r="J6" s="2">
        <f>((6.149-6.025)/N12)+((5.949-5.9)/N12)</f>
        <v>0.13568627450980322</v>
      </c>
      <c r="K6" s="2"/>
      <c r="L6" s="2"/>
      <c r="M6" s="2">
        <f>(5.399-J12)/N12</f>
        <v>0.14431372549019617</v>
      </c>
      <c r="N6" s="10">
        <f>(6.024-5.95)/N12</f>
        <v>5.8039215686274369E-2</v>
      </c>
      <c r="O6" s="1">
        <v>1</v>
      </c>
      <c r="P6" s="2"/>
      <c r="Q6" s="2"/>
      <c r="R6" s="2"/>
      <c r="S6" s="2"/>
      <c r="T6" s="10"/>
    </row>
    <row r="7" spans="1:40">
      <c r="B7" s="11" t="s">
        <v>1</v>
      </c>
      <c r="C7" s="22">
        <f>(F12-3.525)/H12</f>
        <v>0.66015625</v>
      </c>
      <c r="D7" s="2"/>
      <c r="E7" s="2"/>
      <c r="F7" s="2"/>
      <c r="G7" s="2">
        <f>(3.524-D12)/H12</f>
        <v>0.33945312500000008</v>
      </c>
      <c r="H7" s="10"/>
      <c r="I7" s="2">
        <f>((5.649-J12)/N12)+((6.174-5.899)/N12)</f>
        <v>0.55607843137254931</v>
      </c>
      <c r="J7" s="2"/>
      <c r="K7" s="2"/>
      <c r="L7" s="2">
        <f>((5.699-5.65)/N12)+((6.224-6.175)/N12)</f>
        <v>7.6862745098039087E-2</v>
      </c>
      <c r="M7" s="2"/>
      <c r="N7" s="10">
        <f>((5.899-5.7)/N12)+((L12-6.225)/N12)</f>
        <v>0.36392156862745118</v>
      </c>
      <c r="P7" s="2"/>
      <c r="Q7" s="2">
        <f>(R12-6.675)/T12</f>
        <v>0.68644067796610231</v>
      </c>
      <c r="R7" s="2"/>
      <c r="S7" s="2"/>
      <c r="T7" s="10">
        <f>(6.674-P12)/T12</f>
        <v>0.31186440677966137</v>
      </c>
    </row>
    <row r="8" spans="1:40">
      <c r="B8" s="11" t="s">
        <v>2</v>
      </c>
      <c r="C8" s="22">
        <f>((4.599-D12)/H12)+((F12-5.15)/H12)</f>
        <v>0.78476562499999991</v>
      </c>
      <c r="D8" s="2"/>
      <c r="E8" s="2">
        <f>((4.849-4.6)/H12)+((5.149-5.05)/H12)</f>
        <v>0.13593750000000029</v>
      </c>
      <c r="F8" s="2"/>
      <c r="G8" s="2"/>
      <c r="H8" s="10">
        <f>(5.049-4.85)/H12</f>
        <v>7.7734375000000286E-2</v>
      </c>
      <c r="I8" s="2">
        <v>1</v>
      </c>
      <c r="J8" s="2"/>
      <c r="K8" s="2"/>
      <c r="L8" s="2"/>
      <c r="M8" s="2"/>
      <c r="N8" s="10"/>
      <c r="O8" s="2">
        <v>1</v>
      </c>
      <c r="P8" s="2"/>
      <c r="Q8" s="2"/>
      <c r="R8" s="2"/>
      <c r="S8" s="2"/>
      <c r="T8" s="10"/>
    </row>
    <row r="9" spans="1:40">
      <c r="B9" s="11" t="s">
        <v>3</v>
      </c>
      <c r="C9" s="22">
        <f>((2.849-D12)/H12)+((3.449-3.15)/H12)+((4.149-3.6)/H12)+((F12-5.125)/H12)</f>
        <v>0.44218750000000001</v>
      </c>
      <c r="D9" s="2"/>
      <c r="E9" s="2">
        <f>(3.049-3)/H12</f>
        <v>1.9140624999999974E-2</v>
      </c>
      <c r="F9" s="2">
        <f>(3.149-3.1)/H12</f>
        <v>1.9140624999999974E-2</v>
      </c>
      <c r="G9" s="2">
        <f>(5.224-4.15)/H12</f>
        <v>0.41953124999999991</v>
      </c>
      <c r="H9" s="10">
        <f>((2.999-2.85)/H12)+((3.099-3.05)/H12)+((3.599-3.45)/H12)</f>
        <v>0.13554687500000018</v>
      </c>
      <c r="I9" s="2">
        <f>((5.224-J12)/N12)+((6.299-5.575)/N12)</f>
        <v>0.57490196078431399</v>
      </c>
      <c r="J9" s="2"/>
      <c r="K9" s="2"/>
      <c r="L9" s="2"/>
      <c r="M9" s="2"/>
      <c r="N9" s="10">
        <f>((5.574-5.225)/N12)+((L12-6.3)/N12)</f>
        <v>0.42274509803921601</v>
      </c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(3.599-D12)/H12</f>
        <v>0.36875000000000013</v>
      </c>
      <c r="D10" s="2">
        <f>((5.024-4.95)/H12)+((5.224-5.15)/H12)</f>
        <v>5.7812499999999878E-2</v>
      </c>
      <c r="E10" s="2">
        <f>((4.174-4.05)/H12)+((5.149-5.025)/H12)</f>
        <v>9.6875000000000086E-2</v>
      </c>
      <c r="F10" s="2"/>
      <c r="G10" s="2">
        <f>(4.949- 4.175)/H12</f>
        <v>0.30234375000000002</v>
      </c>
      <c r="H10" s="10">
        <f>(4.049-3.6)/H12</f>
        <v>0.17539062500000011</v>
      </c>
      <c r="I10" s="2">
        <f>((5.924-5.225)/N12)+((L12-6.175)/N12)</f>
        <v>0.79529411764705948</v>
      </c>
      <c r="J10" s="2">
        <f>((5.224-J12)/N12)+((5.974-5.925)/N12)+((6.099-6.05)/N12)</f>
        <v>8.3921568627451815E-2</v>
      </c>
      <c r="K10" s="2">
        <f>(6.174-6.1)/N12</f>
        <v>5.803921568627507E-2</v>
      </c>
      <c r="L10" s="2"/>
      <c r="M10" s="2"/>
      <c r="N10" s="10">
        <f>(6.049-5.975)/N12</f>
        <v>5.803921568627507E-2</v>
      </c>
      <c r="O10" s="2">
        <v>1</v>
      </c>
      <c r="P10" s="2"/>
      <c r="Q10" s="2"/>
      <c r="R10" s="2"/>
      <c r="S10" s="2"/>
      <c r="T10" s="10"/>
    </row>
    <row r="11" spans="1:40" ht="15.75" thickBot="1">
      <c r="B11" s="12" t="s">
        <v>5</v>
      </c>
      <c r="C11" s="23">
        <f>1-F11</f>
        <v>0.85546875</v>
      </c>
      <c r="D11" s="13"/>
      <c r="E11" s="13"/>
      <c r="F11" s="13">
        <f>0.37/H12</f>
        <v>0.14453125</v>
      </c>
      <c r="G11" s="13"/>
      <c r="H11" s="14"/>
      <c r="I11" s="13">
        <f>((5.699-J12)/N12)+((L12-5.8)/N12)</f>
        <v>0.9207843137254903</v>
      </c>
      <c r="J11" s="13"/>
      <c r="K11" s="13"/>
      <c r="L11" s="13"/>
      <c r="M11" s="13"/>
      <c r="N11" s="14">
        <f>(5.799-5.7)/N12</f>
        <v>7.7647058823529541E-2</v>
      </c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22</v>
      </c>
      <c r="C12" s="32" t="s">
        <v>23</v>
      </c>
      <c r="D12" s="33">
        <v>2.6549999999999998</v>
      </c>
      <c r="E12" s="34" t="s">
        <v>24</v>
      </c>
      <c r="F12" s="33">
        <v>5.2149999999999999</v>
      </c>
      <c r="G12" s="30" t="s">
        <v>21</v>
      </c>
      <c r="H12" s="33">
        <f>F12-D12</f>
        <v>2.56</v>
      </c>
      <c r="I12" s="33" t="s">
        <v>23</v>
      </c>
      <c r="J12" s="33">
        <f>F12</f>
        <v>5.2149999999999999</v>
      </c>
      <c r="K12" s="33" t="s">
        <v>24</v>
      </c>
      <c r="L12" s="33">
        <v>6.49</v>
      </c>
      <c r="M12" s="33" t="s">
        <v>21</v>
      </c>
      <c r="N12" s="33">
        <f>L12-J12</f>
        <v>1.2750000000000004</v>
      </c>
      <c r="O12" s="33" t="s">
        <v>23</v>
      </c>
      <c r="P12" s="33">
        <f>L12</f>
        <v>6.49</v>
      </c>
      <c r="Q12" s="33" t="s">
        <v>24</v>
      </c>
      <c r="R12" s="33">
        <v>7.08</v>
      </c>
      <c r="S12" s="33" t="s">
        <v>21</v>
      </c>
      <c r="T12" s="18">
        <f>R12-P12</f>
        <v>0.58999999999999986</v>
      </c>
    </row>
    <row r="14" spans="1:40" ht="15.75" thickBot="1">
      <c r="B14" s="41" t="s">
        <v>31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20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28</v>
      </c>
      <c r="W15" s="85" t="s">
        <v>20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>
        <v>1</v>
      </c>
      <c r="D18" s="20"/>
      <c r="E18" s="20"/>
      <c r="F18" s="20"/>
      <c r="G18" s="20"/>
      <c r="H18" s="21"/>
      <c r="I18" s="1">
        <v>1</v>
      </c>
      <c r="J18" s="2"/>
      <c r="K18" s="2"/>
      <c r="L18" s="2"/>
      <c r="M18" s="2">
        <v>1</v>
      </c>
      <c r="N18" s="10"/>
      <c r="O18" s="2">
        <v>1</v>
      </c>
      <c r="P18" s="2"/>
      <c r="Q18" s="2"/>
      <c r="R18" s="2"/>
      <c r="S18" s="2"/>
      <c r="T18" s="10"/>
      <c r="V18" s="11" t="s">
        <v>7</v>
      </c>
      <c r="W18" s="19">
        <v>1</v>
      </c>
      <c r="X18" s="20"/>
      <c r="Y18" s="20"/>
      <c r="Z18" s="20">
        <v>1</v>
      </c>
      <c r="AA18" s="20">
        <v>1</v>
      </c>
      <c r="AB18" s="21">
        <v>1</v>
      </c>
      <c r="AC18" s="2">
        <v>1</v>
      </c>
      <c r="AD18" s="2"/>
      <c r="AE18" s="2"/>
      <c r="AF18" s="2"/>
      <c r="AG18" s="2"/>
      <c r="AH18" s="10">
        <v>1</v>
      </c>
      <c r="AI18" s="2">
        <v>1</v>
      </c>
      <c r="AJ18" s="2"/>
      <c r="AK18" s="2"/>
      <c r="AL18" s="2"/>
      <c r="AM18" s="2"/>
      <c r="AN18" s="10">
        <v>1</v>
      </c>
    </row>
    <row r="19" spans="2:40">
      <c r="B19" s="11" t="s">
        <v>8</v>
      </c>
      <c r="C19" s="22">
        <v>1</v>
      </c>
      <c r="D19" s="2">
        <v>1</v>
      </c>
      <c r="E19" s="2"/>
      <c r="F19" s="2"/>
      <c r="G19" s="2"/>
      <c r="H19" s="10"/>
      <c r="I19" s="2">
        <v>1</v>
      </c>
      <c r="J19" s="2">
        <v>1</v>
      </c>
      <c r="K19" s="2"/>
      <c r="L19" s="2"/>
      <c r="M19" s="2"/>
      <c r="N19" s="10">
        <v>1</v>
      </c>
      <c r="O19" s="2"/>
      <c r="P19" s="2">
        <v>1</v>
      </c>
      <c r="Q19" s="2"/>
      <c r="R19" s="2"/>
      <c r="S19" s="2"/>
      <c r="T19" s="10"/>
      <c r="V19" s="11" t="s">
        <v>8</v>
      </c>
      <c r="W19" s="22"/>
      <c r="X19" s="2">
        <v>1</v>
      </c>
      <c r="Y19" s="2"/>
      <c r="Z19" s="2"/>
      <c r="AA19" s="2"/>
      <c r="AB19" s="10"/>
      <c r="AC19" s="2"/>
      <c r="AD19" s="2">
        <v>1</v>
      </c>
      <c r="AE19" s="2"/>
      <c r="AF19" s="2"/>
      <c r="AG19" s="2"/>
      <c r="AH19" s="10"/>
      <c r="AI19" s="2"/>
      <c r="AJ19" s="2">
        <v>1</v>
      </c>
      <c r="AK19" s="2"/>
      <c r="AL19" s="2"/>
      <c r="AM19" s="2"/>
      <c r="AN19" s="10"/>
    </row>
    <row r="20" spans="2:40">
      <c r="B20" s="11" t="s">
        <v>9</v>
      </c>
      <c r="C20" s="22"/>
      <c r="D20" s="2">
        <v>1</v>
      </c>
      <c r="E20" s="2">
        <v>1</v>
      </c>
      <c r="F20" s="2"/>
      <c r="G20" s="2"/>
      <c r="H20" s="10"/>
      <c r="I20" s="2"/>
      <c r="J20" s="2"/>
      <c r="K20" s="2">
        <v>1</v>
      </c>
      <c r="L20" s="2"/>
      <c r="M20" s="2"/>
      <c r="N20" s="10"/>
      <c r="O20" s="2"/>
      <c r="P20" s="2"/>
      <c r="Q20" s="2">
        <v>1</v>
      </c>
      <c r="R20" s="2"/>
      <c r="S20" s="2"/>
      <c r="T20" s="10"/>
      <c r="V20" s="11" t="s">
        <v>9</v>
      </c>
      <c r="W20" s="22"/>
      <c r="X20" s="2"/>
      <c r="Y20" s="2">
        <v>1</v>
      </c>
      <c r="Z20" s="2"/>
      <c r="AA20" s="2"/>
      <c r="AB20" s="10">
        <v>1</v>
      </c>
      <c r="AC20" s="2"/>
      <c r="AD20" s="2"/>
      <c r="AE20" s="2">
        <v>1</v>
      </c>
      <c r="AF20" s="2"/>
      <c r="AG20" s="2"/>
      <c r="AH20" s="10"/>
      <c r="AI20" s="2"/>
      <c r="AJ20" s="2"/>
      <c r="AK20" s="2">
        <v>1</v>
      </c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>
        <v>1</v>
      </c>
      <c r="G21" s="2"/>
      <c r="H21" s="10"/>
      <c r="I21" s="2"/>
      <c r="J21" s="2"/>
      <c r="K21" s="2"/>
      <c r="L21" s="2">
        <v>1</v>
      </c>
      <c r="M21" s="2"/>
      <c r="N21" s="10"/>
      <c r="O21" s="2"/>
      <c r="P21" s="2"/>
      <c r="Q21" s="2"/>
      <c r="R21" s="2">
        <v>1</v>
      </c>
      <c r="S21" s="2"/>
      <c r="T21" s="10"/>
      <c r="V21" s="11" t="s">
        <v>10</v>
      </c>
      <c r="W21" s="22"/>
      <c r="X21" s="2"/>
      <c r="Y21" s="2"/>
      <c r="Z21" s="2">
        <v>1</v>
      </c>
      <c r="AA21" s="2"/>
      <c r="AB21" s="10">
        <v>1</v>
      </c>
      <c r="AC21" s="2"/>
      <c r="AD21" s="2"/>
      <c r="AE21" s="2"/>
      <c r="AF21" s="2">
        <v>1</v>
      </c>
      <c r="AG21" s="2"/>
      <c r="AH21" s="10"/>
      <c r="AI21" s="2"/>
      <c r="AJ21" s="2"/>
      <c r="AK21" s="2"/>
      <c r="AL21" s="2">
        <v>1</v>
      </c>
      <c r="AM21" s="2"/>
      <c r="AN21" s="10"/>
    </row>
    <row r="22" spans="2:40">
      <c r="B22" s="11" t="s">
        <v>11</v>
      </c>
      <c r="C22" s="22"/>
      <c r="E22" s="2">
        <v>1</v>
      </c>
      <c r="F22" s="2"/>
      <c r="G22" s="2">
        <v>1</v>
      </c>
      <c r="H22" s="10"/>
      <c r="I22" s="2"/>
      <c r="K22" s="2"/>
      <c r="L22" s="2"/>
      <c r="M22" s="2">
        <v>1</v>
      </c>
      <c r="N22" s="10"/>
      <c r="O22" s="2"/>
      <c r="Q22" s="2"/>
      <c r="R22" s="2"/>
      <c r="S22" s="2">
        <v>1</v>
      </c>
      <c r="T22" s="10"/>
      <c r="V22" s="11" t="s">
        <v>11</v>
      </c>
      <c r="W22" s="1">
        <v>1</v>
      </c>
      <c r="X22" s="2"/>
      <c r="Z22" s="2"/>
      <c r="AA22" s="2">
        <v>1</v>
      </c>
      <c r="AB22" s="10"/>
      <c r="AC22" s="2"/>
      <c r="AD22" s="2"/>
      <c r="AE22" s="2"/>
      <c r="AF22" s="2"/>
      <c r="AG22" s="2">
        <v>1</v>
      </c>
      <c r="AH22" s="10"/>
      <c r="AI22" s="2"/>
      <c r="AJ22" s="2"/>
      <c r="AK22" s="2"/>
      <c r="AL22" s="2"/>
      <c r="AM22" s="2">
        <v>1</v>
      </c>
      <c r="AN22" s="10"/>
    </row>
    <row r="23" spans="2:40" ht="15.75" thickBot="1">
      <c r="B23" s="12" t="s">
        <v>12</v>
      </c>
      <c r="C23" s="23"/>
      <c r="D23" s="2"/>
      <c r="E23" s="13"/>
      <c r="F23" s="13"/>
      <c r="G23" s="13"/>
      <c r="H23" s="14">
        <v>1</v>
      </c>
      <c r="I23" s="13"/>
      <c r="J23" s="2">
        <v>1</v>
      </c>
      <c r="K23" s="13"/>
      <c r="L23" s="13"/>
      <c r="M23" s="13"/>
      <c r="N23" s="14">
        <v>1</v>
      </c>
      <c r="O23" s="13"/>
      <c r="P23" s="2"/>
      <c r="Q23" s="13"/>
      <c r="R23" s="13"/>
      <c r="S23" s="13"/>
      <c r="T23" s="14">
        <v>1</v>
      </c>
      <c r="V23" s="12" t="s">
        <v>12</v>
      </c>
      <c r="W23" s="22">
        <v>2</v>
      </c>
      <c r="X23" s="13"/>
      <c r="Y23" s="2">
        <v>1</v>
      </c>
      <c r="Z23" s="13"/>
      <c r="AA23" s="13"/>
      <c r="AB23" s="14">
        <v>1</v>
      </c>
      <c r="AC23" s="13">
        <v>2</v>
      </c>
      <c r="AD23" s="13"/>
      <c r="AE23" s="13"/>
      <c r="AF23" s="13"/>
      <c r="AG23" s="13"/>
      <c r="AH23" s="14">
        <v>1</v>
      </c>
      <c r="AI23" s="13"/>
      <c r="AJ23" s="13"/>
      <c r="AK23" s="13"/>
      <c r="AL23" s="13"/>
      <c r="AM23" s="13"/>
      <c r="AN23" s="14">
        <v>1</v>
      </c>
    </row>
    <row r="24" spans="2:40" ht="15.75" thickBot="1">
      <c r="B24" s="35" t="s">
        <v>26</v>
      </c>
      <c r="C24" s="32">
        <f>SUM(C18:H23)</f>
        <v>9</v>
      </c>
      <c r="D24" s="16"/>
      <c r="E24" s="17"/>
      <c r="F24" s="17"/>
      <c r="G24" s="17"/>
      <c r="H24" s="18"/>
      <c r="I24" s="32">
        <f>SUM(I18:N23)</f>
        <v>10</v>
      </c>
      <c r="J24" s="17"/>
      <c r="K24" s="17"/>
      <c r="L24" s="17"/>
      <c r="M24" s="17"/>
      <c r="N24" s="18"/>
      <c r="O24" s="32">
        <f>SUM(O18:T23)</f>
        <v>6</v>
      </c>
      <c r="P24" s="17"/>
      <c r="Q24" s="17"/>
      <c r="R24" s="17"/>
      <c r="S24" s="17"/>
      <c r="T24" s="18"/>
      <c r="V24" s="35" t="s">
        <v>26</v>
      </c>
      <c r="W24" s="32">
        <f>SUM(W18:AB23)</f>
        <v>15</v>
      </c>
      <c r="X24" s="16"/>
      <c r="Y24" s="17"/>
      <c r="Z24" s="17"/>
      <c r="AA24" s="17"/>
      <c r="AB24" s="18"/>
      <c r="AC24" s="32">
        <f>SUM(AC18:AH23)</f>
        <v>9</v>
      </c>
      <c r="AD24" s="17"/>
      <c r="AE24" s="17"/>
      <c r="AF24" s="17"/>
      <c r="AG24" s="17"/>
      <c r="AH24" s="18"/>
      <c r="AI24" s="32">
        <f>SUM(AI18:AN23)</f>
        <v>7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25</v>
      </c>
      <c r="C26" s="85" t="s">
        <v>20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30</v>
      </c>
      <c r="W26" s="85" t="s">
        <v>20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>
        <v>1</v>
      </c>
      <c r="H29" s="21"/>
      <c r="I29" s="2">
        <v>1</v>
      </c>
      <c r="J29" s="2"/>
      <c r="K29" s="2"/>
      <c r="L29" s="2"/>
      <c r="M29" s="2"/>
      <c r="N29" s="10">
        <v>1</v>
      </c>
      <c r="O29" s="2">
        <v>1</v>
      </c>
      <c r="P29" s="2"/>
      <c r="Q29" s="2"/>
      <c r="R29" s="2"/>
      <c r="S29" s="2"/>
      <c r="T29" s="10"/>
      <c r="V29" s="11" t="s">
        <v>7</v>
      </c>
      <c r="W29" s="19">
        <v>1</v>
      </c>
      <c r="X29" s="20"/>
      <c r="Y29" s="20"/>
      <c r="Z29" s="20"/>
      <c r="AA29" s="20"/>
      <c r="AB29" s="21"/>
      <c r="AC29" s="2">
        <v>1</v>
      </c>
      <c r="AD29" s="2">
        <v>1</v>
      </c>
      <c r="AE29" s="2"/>
      <c r="AF29" s="2"/>
      <c r="AG29" s="2"/>
      <c r="AH29" s="10"/>
      <c r="AI29" s="2">
        <v>1</v>
      </c>
      <c r="AJ29" s="2"/>
      <c r="AK29" s="2">
        <v>1</v>
      </c>
      <c r="AL29" s="2"/>
      <c r="AM29" s="2"/>
      <c r="AN29" s="10"/>
    </row>
    <row r="30" spans="2:40">
      <c r="B30" s="11" t="s">
        <v>8</v>
      </c>
      <c r="C30" s="22"/>
      <c r="D30" s="2">
        <v>1</v>
      </c>
      <c r="E30" s="2"/>
      <c r="F30" s="2"/>
      <c r="G30" s="2"/>
      <c r="H30" s="10"/>
      <c r="I30" s="2"/>
      <c r="J30" s="2">
        <v>1</v>
      </c>
      <c r="K30" s="2"/>
      <c r="L30" s="2"/>
      <c r="M30" s="2"/>
      <c r="N30" s="10"/>
      <c r="O30" s="2"/>
      <c r="P30" s="2">
        <v>1</v>
      </c>
      <c r="Q30" s="2"/>
      <c r="R30" s="2"/>
      <c r="S30" s="2"/>
      <c r="T30" s="10"/>
      <c r="V30" s="11" t="s">
        <v>8</v>
      </c>
      <c r="W30" s="22"/>
      <c r="X30" s="2">
        <v>1</v>
      </c>
      <c r="Y30" s="2">
        <v>1</v>
      </c>
      <c r="Z30" s="2"/>
      <c r="AA30" s="2">
        <v>1</v>
      </c>
      <c r="AB30" s="10"/>
      <c r="AC30" s="2">
        <v>1</v>
      </c>
      <c r="AD30" s="2">
        <v>1</v>
      </c>
      <c r="AE30" s="2"/>
      <c r="AF30" s="2"/>
      <c r="AG30" s="2"/>
      <c r="AH30" s="10">
        <v>1</v>
      </c>
      <c r="AI30" s="2"/>
      <c r="AJ30" s="2">
        <v>1</v>
      </c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>
        <v>1</v>
      </c>
      <c r="F31" s="2"/>
      <c r="G31" s="2"/>
      <c r="H31" s="10"/>
      <c r="I31" s="2"/>
      <c r="J31" s="2"/>
      <c r="K31" s="2">
        <v>1</v>
      </c>
      <c r="L31" s="2"/>
      <c r="M31" s="2"/>
      <c r="N31" s="10"/>
      <c r="O31" s="2"/>
      <c r="P31" s="2"/>
      <c r="Q31" s="2">
        <v>1</v>
      </c>
      <c r="R31" s="2"/>
      <c r="S31" s="2"/>
      <c r="T31" s="10">
        <v>1</v>
      </c>
      <c r="V31" s="11" t="s">
        <v>9</v>
      </c>
      <c r="W31" s="22"/>
      <c r="X31" s="2">
        <v>1</v>
      </c>
      <c r="Y31" s="2">
        <v>1</v>
      </c>
      <c r="Z31" s="2"/>
      <c r="AA31" s="2"/>
      <c r="AB31" s="10">
        <v>1</v>
      </c>
      <c r="AC31" s="2"/>
      <c r="AD31" s="2">
        <v>1</v>
      </c>
      <c r="AE31" s="2">
        <v>1</v>
      </c>
      <c r="AF31" s="2"/>
      <c r="AG31" s="2"/>
      <c r="AH31" s="10"/>
      <c r="AI31" s="2"/>
      <c r="AJ31" s="2"/>
      <c r="AK31" s="2">
        <v>1</v>
      </c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>
        <v>1</v>
      </c>
      <c r="G32" s="2"/>
      <c r="H32" s="10"/>
      <c r="I32" s="2">
        <v>2</v>
      </c>
      <c r="J32" s="2"/>
      <c r="K32" s="2"/>
      <c r="L32" s="2">
        <v>1</v>
      </c>
      <c r="M32" s="2"/>
      <c r="N32" s="10"/>
      <c r="O32" s="2"/>
      <c r="P32" s="2"/>
      <c r="Q32" s="2"/>
      <c r="R32" s="2">
        <v>1</v>
      </c>
      <c r="S32" s="2"/>
      <c r="T32" s="10"/>
      <c r="V32" s="11" t="s">
        <v>10</v>
      </c>
      <c r="W32" s="22"/>
      <c r="X32" s="2"/>
      <c r="Y32" s="2"/>
      <c r="Z32" s="2">
        <v>1</v>
      </c>
      <c r="AA32" s="2"/>
      <c r="AB32" s="10"/>
      <c r="AC32" s="2"/>
      <c r="AD32" s="2"/>
      <c r="AE32" s="2"/>
      <c r="AF32" s="2">
        <v>1</v>
      </c>
      <c r="AG32" s="2"/>
      <c r="AH32" s="10"/>
      <c r="AI32" s="2"/>
      <c r="AJ32" s="2"/>
      <c r="AK32" s="2"/>
      <c r="AL32" s="2">
        <v>1</v>
      </c>
      <c r="AM32" s="2"/>
      <c r="AN32" s="10"/>
    </row>
    <row r="33" spans="2:40">
      <c r="B33" s="11" t="s">
        <v>11</v>
      </c>
      <c r="C33" s="22">
        <v>1</v>
      </c>
      <c r="D33" s="2"/>
      <c r="E33" s="2"/>
      <c r="F33" s="2"/>
      <c r="G33" s="2">
        <v>1</v>
      </c>
      <c r="H33" s="10"/>
      <c r="I33" s="2"/>
      <c r="J33" s="2"/>
      <c r="K33" s="2"/>
      <c r="M33" s="2">
        <v>1</v>
      </c>
      <c r="N33" s="10"/>
      <c r="O33" s="2"/>
      <c r="P33" s="2"/>
      <c r="Q33" s="2"/>
      <c r="R33" s="2"/>
      <c r="S33" s="2">
        <v>1</v>
      </c>
      <c r="T33" s="10"/>
      <c r="V33" s="11" t="s">
        <v>11</v>
      </c>
      <c r="Y33" s="1">
        <v>1</v>
      </c>
      <c r="Z33" s="2"/>
      <c r="AA33" s="2">
        <v>1</v>
      </c>
      <c r="AB33" s="10"/>
      <c r="AC33" s="2"/>
      <c r="AE33" s="2"/>
      <c r="AF33" s="2"/>
      <c r="AG33" s="2">
        <v>1</v>
      </c>
      <c r="AH33" s="10"/>
      <c r="AI33" s="2"/>
      <c r="AJ33" s="2"/>
      <c r="AK33" s="2"/>
      <c r="AL33" s="2"/>
      <c r="AM33" s="2">
        <v>1</v>
      </c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>
        <v>1</v>
      </c>
      <c r="I34" s="13"/>
      <c r="J34" s="13"/>
      <c r="K34" s="13"/>
      <c r="L34" s="2">
        <v>2</v>
      </c>
      <c r="M34" s="13"/>
      <c r="N34" s="14">
        <v>1</v>
      </c>
      <c r="O34" s="13"/>
      <c r="P34" s="13"/>
      <c r="Q34" s="13"/>
      <c r="R34" s="13"/>
      <c r="S34" s="13"/>
      <c r="T34" s="14">
        <v>1</v>
      </c>
      <c r="V34" s="12" t="s">
        <v>12</v>
      </c>
      <c r="W34" s="22">
        <v>1</v>
      </c>
      <c r="X34" s="2"/>
      <c r="Y34" s="2"/>
      <c r="Z34" s="13"/>
      <c r="AA34" s="13"/>
      <c r="AB34" s="14">
        <v>1</v>
      </c>
      <c r="AC34" s="13"/>
      <c r="AD34" s="2">
        <v>1</v>
      </c>
      <c r="AE34" s="13"/>
      <c r="AF34" s="13"/>
      <c r="AG34" s="13"/>
      <c r="AH34" s="14">
        <v>1</v>
      </c>
      <c r="AI34" s="13"/>
      <c r="AJ34" s="13"/>
      <c r="AK34" s="13"/>
      <c r="AL34" s="13"/>
      <c r="AM34" s="13"/>
      <c r="AN34" s="14">
        <v>1</v>
      </c>
    </row>
    <row r="35" spans="2:40" ht="15.75" thickBot="1">
      <c r="B35" s="36" t="s">
        <v>26</v>
      </c>
      <c r="C35" s="32">
        <f>SUM(C29:H34)</f>
        <v>8</v>
      </c>
      <c r="D35" s="16"/>
      <c r="E35" s="17"/>
      <c r="F35" s="17"/>
      <c r="G35" s="17"/>
      <c r="H35" s="18"/>
      <c r="I35" s="32">
        <f>SUM(I29:N34)</f>
        <v>11</v>
      </c>
      <c r="J35" s="17"/>
      <c r="K35" s="17"/>
      <c r="L35" s="17"/>
      <c r="M35" s="17"/>
      <c r="N35" s="18"/>
      <c r="O35" s="32">
        <f>SUM(O29:T34)</f>
        <v>7</v>
      </c>
      <c r="P35" s="17"/>
      <c r="Q35" s="17"/>
      <c r="R35" s="17"/>
      <c r="S35" s="17"/>
      <c r="T35" s="18"/>
      <c r="V35" s="35" t="s">
        <v>26</v>
      </c>
      <c r="W35" s="32">
        <f>SUM(W29:AB34)</f>
        <v>12</v>
      </c>
      <c r="X35" s="16"/>
      <c r="Y35" s="17"/>
      <c r="Z35" s="17"/>
      <c r="AA35" s="17"/>
      <c r="AB35" s="18"/>
      <c r="AC35" s="32">
        <f>SUM(AC29:AH34)</f>
        <v>11</v>
      </c>
      <c r="AD35" s="17"/>
      <c r="AE35" s="17"/>
      <c r="AF35" s="17"/>
      <c r="AG35" s="17"/>
      <c r="AH35" s="18"/>
      <c r="AI35" s="32">
        <f>SUM(AI29:AN34)</f>
        <v>7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27</v>
      </c>
      <c r="C38" s="85" t="s">
        <v>20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29</v>
      </c>
      <c r="W38" s="85" t="s">
        <v>20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/>
      <c r="G41" s="20"/>
      <c r="H41" s="21"/>
      <c r="I41" s="2">
        <v>1</v>
      </c>
      <c r="J41" s="2"/>
      <c r="K41" s="2">
        <v>1</v>
      </c>
      <c r="L41" s="2"/>
      <c r="M41" s="2"/>
      <c r="N41" s="10"/>
      <c r="O41" s="2">
        <v>1</v>
      </c>
      <c r="P41" s="2"/>
      <c r="Q41" s="2"/>
      <c r="R41" s="2"/>
      <c r="S41" s="2"/>
      <c r="T41" s="10"/>
      <c r="V41" s="11" t="s">
        <v>7</v>
      </c>
      <c r="W41" s="19">
        <v>1</v>
      </c>
      <c r="X41" s="20"/>
      <c r="Y41" s="20"/>
      <c r="Z41" s="20"/>
      <c r="AA41" s="20">
        <v>1</v>
      </c>
      <c r="AB41" s="21">
        <v>1</v>
      </c>
      <c r="AC41" s="2">
        <v>1</v>
      </c>
      <c r="AD41" s="2"/>
      <c r="AE41" s="2"/>
      <c r="AF41" s="2"/>
      <c r="AG41" s="2"/>
      <c r="AH41" s="10">
        <v>1</v>
      </c>
      <c r="AI41" s="2">
        <v>1</v>
      </c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>
        <v>1</v>
      </c>
      <c r="E42" s="2"/>
      <c r="F42" s="2"/>
      <c r="G42" s="2"/>
      <c r="H42" s="10"/>
      <c r="I42" s="2"/>
      <c r="J42" s="2">
        <v>1</v>
      </c>
      <c r="K42" s="2"/>
      <c r="L42" s="2"/>
      <c r="M42" s="2"/>
      <c r="N42" s="10"/>
      <c r="O42" s="2"/>
      <c r="P42" s="2">
        <v>1</v>
      </c>
      <c r="Q42" s="2"/>
      <c r="R42" s="2"/>
      <c r="S42" s="2"/>
      <c r="T42" s="10"/>
      <c r="V42" s="11" t="s">
        <v>8</v>
      </c>
      <c r="W42" s="22"/>
      <c r="X42" s="2">
        <v>1</v>
      </c>
      <c r="Y42" s="2"/>
      <c r="Z42" s="2"/>
      <c r="AA42" s="2"/>
      <c r="AB42" s="10"/>
      <c r="AC42" s="2"/>
      <c r="AD42" s="2">
        <v>1</v>
      </c>
      <c r="AE42" s="2"/>
      <c r="AF42" s="2"/>
      <c r="AG42" s="2"/>
      <c r="AH42" s="10"/>
      <c r="AI42" s="2"/>
      <c r="AJ42" s="2">
        <v>1</v>
      </c>
      <c r="AK42" s="2"/>
      <c r="AL42" s="2"/>
      <c r="AM42" s="2"/>
      <c r="AN42" s="10"/>
    </row>
    <row r="43" spans="2:40">
      <c r="B43" s="11" t="s">
        <v>9</v>
      </c>
      <c r="C43" s="22">
        <v>1</v>
      </c>
      <c r="D43" s="2"/>
      <c r="E43" s="2">
        <v>1</v>
      </c>
      <c r="F43" s="2"/>
      <c r="G43" s="2"/>
      <c r="H43" s="10">
        <v>1</v>
      </c>
      <c r="I43" s="2"/>
      <c r="J43" s="2"/>
      <c r="K43" s="2">
        <v>1</v>
      </c>
      <c r="L43" s="2"/>
      <c r="M43" s="2"/>
      <c r="N43" s="10"/>
      <c r="O43" s="2"/>
      <c r="P43" s="2"/>
      <c r="Q43" s="2">
        <v>1</v>
      </c>
      <c r="R43" s="2"/>
      <c r="S43" s="2"/>
      <c r="T43" s="10"/>
      <c r="V43" s="11" t="s">
        <v>9</v>
      </c>
      <c r="W43" s="22"/>
      <c r="X43" s="2"/>
      <c r="Y43" s="2">
        <v>1</v>
      </c>
      <c r="Z43" s="2"/>
      <c r="AA43" s="2"/>
      <c r="AB43" s="10"/>
      <c r="AC43" s="2"/>
      <c r="AD43" s="2"/>
      <c r="AE43" s="2">
        <v>1</v>
      </c>
      <c r="AF43" s="2"/>
      <c r="AG43" s="2"/>
      <c r="AH43" s="10"/>
      <c r="AI43" s="2"/>
      <c r="AJ43" s="2"/>
      <c r="AK43" s="2">
        <v>1</v>
      </c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>
        <v>1</v>
      </c>
      <c r="G44" s="2"/>
      <c r="H44" s="10"/>
      <c r="I44" s="2"/>
      <c r="J44" s="2"/>
      <c r="K44" s="2"/>
      <c r="L44" s="2">
        <v>1</v>
      </c>
      <c r="M44" s="2"/>
      <c r="N44" s="10"/>
      <c r="O44" s="2"/>
      <c r="P44" s="2"/>
      <c r="Q44" s="2"/>
      <c r="R44" s="2">
        <v>1</v>
      </c>
      <c r="S44" s="2"/>
      <c r="T44" s="10"/>
      <c r="V44" s="11" t="s">
        <v>10</v>
      </c>
      <c r="W44" s="22"/>
      <c r="X44" s="2"/>
      <c r="Y44" s="2"/>
      <c r="Z44" s="2">
        <v>1</v>
      </c>
      <c r="AA44" s="2"/>
      <c r="AB44" s="10"/>
      <c r="AC44" s="2"/>
      <c r="AD44" s="2"/>
      <c r="AE44" s="2"/>
      <c r="AF44" s="2">
        <v>1</v>
      </c>
      <c r="AG44" s="2"/>
      <c r="AH44" s="10"/>
      <c r="AI44" s="2"/>
      <c r="AJ44" s="2"/>
      <c r="AK44" s="2"/>
      <c r="AL44" s="2">
        <v>1</v>
      </c>
      <c r="AM44" s="2"/>
      <c r="AN44" s="10"/>
    </row>
    <row r="45" spans="2:40">
      <c r="B45" s="11" t="s">
        <v>11</v>
      </c>
      <c r="C45" s="22"/>
      <c r="D45" s="2"/>
      <c r="E45" s="2"/>
      <c r="F45" s="2"/>
      <c r="G45" s="2">
        <v>1</v>
      </c>
      <c r="H45" s="10"/>
      <c r="I45" s="2"/>
      <c r="J45" s="2"/>
      <c r="K45" s="2"/>
      <c r="L45" s="2"/>
      <c r="M45" s="2">
        <v>1</v>
      </c>
      <c r="N45" s="10"/>
      <c r="O45" s="2"/>
      <c r="P45" s="2"/>
      <c r="Q45" s="2"/>
      <c r="S45" s="2">
        <v>1</v>
      </c>
      <c r="T45" s="10"/>
      <c r="V45" s="11" t="s">
        <v>11</v>
      </c>
      <c r="W45" s="22">
        <v>1</v>
      </c>
      <c r="X45" s="2"/>
      <c r="Y45" s="2"/>
      <c r="Z45" s="2"/>
      <c r="AA45" s="2">
        <v>1</v>
      </c>
      <c r="AB45" s="10"/>
      <c r="AC45" s="2"/>
      <c r="AD45" s="2"/>
      <c r="AE45" s="2"/>
      <c r="AF45" s="2"/>
      <c r="AG45" s="2">
        <v>1</v>
      </c>
      <c r="AH45" s="10"/>
      <c r="AI45" s="2"/>
      <c r="AJ45" s="2"/>
      <c r="AK45" s="2"/>
      <c r="AL45" s="2"/>
      <c r="AM45" s="2">
        <v>1</v>
      </c>
      <c r="AN45" s="10"/>
    </row>
    <row r="46" spans="2:40" ht="15.75" thickBot="1">
      <c r="B46" s="12" t="s">
        <v>12</v>
      </c>
      <c r="C46" s="23"/>
      <c r="D46" s="13"/>
      <c r="E46" s="13">
        <v>1</v>
      </c>
      <c r="F46" s="13"/>
      <c r="G46" s="13"/>
      <c r="H46" s="14">
        <v>1</v>
      </c>
      <c r="I46" s="13"/>
      <c r="J46" s="13"/>
      <c r="K46" s="13"/>
      <c r="L46" s="13"/>
      <c r="M46" s="13"/>
      <c r="N46" s="14">
        <v>1</v>
      </c>
      <c r="O46" s="13"/>
      <c r="P46" s="13"/>
      <c r="Q46" s="13"/>
      <c r="R46" s="2"/>
      <c r="S46" s="13"/>
      <c r="T46" s="14">
        <v>1</v>
      </c>
      <c r="V46" s="12" t="s">
        <v>12</v>
      </c>
      <c r="W46" s="23"/>
      <c r="X46" s="13"/>
      <c r="Y46" s="13"/>
      <c r="Z46" s="13"/>
      <c r="AA46" s="13"/>
      <c r="AB46" s="14">
        <v>1</v>
      </c>
      <c r="AC46" s="13">
        <v>1</v>
      </c>
      <c r="AD46" s="13"/>
      <c r="AE46" s="13"/>
      <c r="AF46" s="13"/>
      <c r="AG46" s="13"/>
      <c r="AH46" s="14">
        <v>1</v>
      </c>
      <c r="AI46" s="13"/>
      <c r="AJ46" s="13"/>
      <c r="AK46" s="13"/>
      <c r="AL46" s="13"/>
      <c r="AM46" s="13"/>
      <c r="AN46" s="14">
        <v>1</v>
      </c>
    </row>
    <row r="47" spans="2:40" ht="15.75" thickBot="1">
      <c r="B47" s="36" t="s">
        <v>26</v>
      </c>
      <c r="C47" s="32">
        <f>SUM(C41:H46)</f>
        <v>9</v>
      </c>
      <c r="D47" s="16"/>
      <c r="E47" s="17"/>
      <c r="F47" s="17"/>
      <c r="G47" s="17"/>
      <c r="H47" s="18"/>
      <c r="I47" s="32">
        <f>SUM(I41:N46)</f>
        <v>7</v>
      </c>
      <c r="J47" s="17"/>
      <c r="K47" s="17"/>
      <c r="L47" s="17"/>
      <c r="M47" s="17"/>
      <c r="N47" s="18"/>
      <c r="O47" s="32">
        <f>SUM(O41:T46)</f>
        <v>6</v>
      </c>
      <c r="P47" s="17"/>
      <c r="Q47" s="17"/>
      <c r="R47" s="17"/>
      <c r="S47" s="17"/>
      <c r="T47" s="18"/>
      <c r="V47" s="35" t="s">
        <v>26</v>
      </c>
      <c r="W47" s="32">
        <f>SUM(W41:AB46)</f>
        <v>9</v>
      </c>
      <c r="X47" s="16"/>
      <c r="Y47" s="17"/>
      <c r="Z47" s="17"/>
      <c r="AA47" s="17"/>
      <c r="AB47" s="18"/>
      <c r="AC47" s="32">
        <f>SUM(AC41:AH46)</f>
        <v>8</v>
      </c>
      <c r="AD47" s="17"/>
      <c r="AE47" s="17"/>
      <c r="AF47" s="17"/>
      <c r="AG47" s="17"/>
      <c r="AH47" s="18"/>
      <c r="AI47" s="32">
        <f>SUM(AI41:AN46)</f>
        <v>6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42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40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40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40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2.0989999999999998</v>
      </c>
      <c r="D52" s="65">
        <f t="shared" ref="D52:H52" si="0">D6*$H$12</f>
        <v>4.9000000000000377E-2</v>
      </c>
      <c r="E52" s="65">
        <f t="shared" si="0"/>
        <v>7.3999999999999844E-2</v>
      </c>
      <c r="F52" s="65">
        <f t="shared" si="0"/>
        <v>0</v>
      </c>
      <c r="G52" s="65">
        <f t="shared" si="0"/>
        <v>8.9999999999999858E-2</v>
      </c>
      <c r="H52" s="65">
        <f t="shared" si="0"/>
        <v>0.24400000000000022</v>
      </c>
      <c r="I52" s="64">
        <f>I6*$N$12</f>
        <v>0.83899999999999952</v>
      </c>
      <c r="J52" s="65">
        <f t="shared" ref="J52:N52" si="1">J6*$N$12</f>
        <v>0.17299999999999915</v>
      </c>
      <c r="K52" s="65">
        <f t="shared" si="1"/>
        <v>0</v>
      </c>
      <c r="L52" s="65">
        <f t="shared" si="1"/>
        <v>0</v>
      </c>
      <c r="M52" s="65">
        <f t="shared" si="1"/>
        <v>0.18400000000000016</v>
      </c>
      <c r="N52" s="65">
        <f t="shared" si="1"/>
        <v>7.3999999999999844E-2</v>
      </c>
      <c r="O52" s="64">
        <f>O6*$T$12</f>
        <v>0.58999999999999986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</v>
      </c>
    </row>
    <row r="53" spans="2:20">
      <c r="B53" s="26" t="s">
        <v>1</v>
      </c>
      <c r="C53" s="67">
        <f t="shared" ref="C53:H57" si="3">C7*$H$12</f>
        <v>1.69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0.86900000000000022</v>
      </c>
      <c r="H53" s="63">
        <f t="shared" si="3"/>
        <v>0</v>
      </c>
      <c r="I53" s="67">
        <f t="shared" ref="I53:N57" si="4">I7*$N$12</f>
        <v>0.70900000000000052</v>
      </c>
      <c r="J53" s="63">
        <f t="shared" si="4"/>
        <v>0</v>
      </c>
      <c r="K53" s="63">
        <f t="shared" si="4"/>
        <v>0</v>
      </c>
      <c r="L53" s="63">
        <f t="shared" si="4"/>
        <v>9.7999999999999865E-2</v>
      </c>
      <c r="M53" s="63">
        <f t="shared" si="4"/>
        <v>0</v>
      </c>
      <c r="N53" s="63">
        <f t="shared" si="4"/>
        <v>0.46400000000000036</v>
      </c>
      <c r="O53" s="67">
        <f>Q7*$T$12</f>
        <v>0.40500000000000025</v>
      </c>
      <c r="P53" s="63">
        <f t="shared" ref="O53:T57" si="5">P7*$T$12</f>
        <v>0</v>
      </c>
      <c r="Q53" s="63" t="e">
        <f>#REF!*$T$12</f>
        <v>#REF!</v>
      </c>
      <c r="R53" s="63">
        <f t="shared" si="5"/>
        <v>0</v>
      </c>
      <c r="S53" s="63">
        <f t="shared" si="5"/>
        <v>0</v>
      </c>
      <c r="T53" s="68">
        <f t="shared" si="5"/>
        <v>0.18400000000000016</v>
      </c>
    </row>
    <row r="54" spans="2:20">
      <c r="B54" s="26" t="s">
        <v>2</v>
      </c>
      <c r="C54" s="67">
        <f t="shared" si="3"/>
        <v>2.0089999999999999</v>
      </c>
      <c r="D54" s="63">
        <f t="shared" si="3"/>
        <v>0</v>
      </c>
      <c r="E54" s="63">
        <f t="shared" si="3"/>
        <v>0.34800000000000075</v>
      </c>
      <c r="F54" s="63">
        <f t="shared" si="3"/>
        <v>0</v>
      </c>
      <c r="G54" s="63">
        <f t="shared" si="3"/>
        <v>0</v>
      </c>
      <c r="H54" s="63">
        <f t="shared" si="3"/>
        <v>0.19900000000000073</v>
      </c>
      <c r="I54" s="67">
        <f t="shared" si="4"/>
        <v>1.2750000000000004</v>
      </c>
      <c r="J54" s="63">
        <f t="shared" si="4"/>
        <v>0</v>
      </c>
      <c r="K54" s="63">
        <f t="shared" si="4"/>
        <v>0</v>
      </c>
      <c r="L54" s="63">
        <f t="shared" si="4"/>
        <v>0</v>
      </c>
      <c r="M54" s="63">
        <f t="shared" si="4"/>
        <v>0</v>
      </c>
      <c r="N54" s="63">
        <f t="shared" si="4"/>
        <v>0</v>
      </c>
      <c r="O54" s="67">
        <f t="shared" si="5"/>
        <v>0.58999999999999986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</v>
      </c>
      <c r="T54" s="68">
        <f t="shared" si="5"/>
        <v>0</v>
      </c>
    </row>
    <row r="55" spans="2:20">
      <c r="B55" s="26" t="s">
        <v>3</v>
      </c>
      <c r="C55" s="67">
        <f t="shared" si="3"/>
        <v>1.1320000000000001</v>
      </c>
      <c r="D55" s="63">
        <f t="shared" si="3"/>
        <v>0</v>
      </c>
      <c r="E55" s="63">
        <f t="shared" si="3"/>
        <v>4.8999999999999932E-2</v>
      </c>
      <c r="F55" s="63">
        <f t="shared" si="3"/>
        <v>4.8999999999999932E-2</v>
      </c>
      <c r="G55" s="63">
        <f t="shared" si="3"/>
        <v>1.0739999999999998</v>
      </c>
      <c r="H55" s="63">
        <f t="shared" si="3"/>
        <v>0.34700000000000047</v>
      </c>
      <c r="I55" s="67">
        <f t="shared" si="4"/>
        <v>0.73300000000000054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0.53900000000000059</v>
      </c>
      <c r="O55" s="67">
        <f t="shared" si="5"/>
        <v>0.58999999999999986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0.94400000000000039</v>
      </c>
      <c r="D56" s="63">
        <f t="shared" si="3"/>
        <v>0.14799999999999969</v>
      </c>
      <c r="E56" s="63">
        <f t="shared" si="3"/>
        <v>0.24800000000000022</v>
      </c>
      <c r="F56" s="63">
        <f t="shared" si="3"/>
        <v>0</v>
      </c>
      <c r="G56" s="63">
        <f t="shared" si="3"/>
        <v>0.77400000000000002</v>
      </c>
      <c r="H56" s="63">
        <f t="shared" si="3"/>
        <v>0.44900000000000029</v>
      </c>
      <c r="I56" s="67">
        <f t="shared" si="4"/>
        <v>1.0140000000000011</v>
      </c>
      <c r="J56" s="63">
        <f t="shared" si="4"/>
        <v>0.10700000000000109</v>
      </c>
      <c r="K56" s="63">
        <f t="shared" si="4"/>
        <v>7.4000000000000732E-2</v>
      </c>
      <c r="L56" s="63">
        <f t="shared" si="4"/>
        <v>0</v>
      </c>
      <c r="M56" s="63">
        <f t="shared" si="4"/>
        <v>0</v>
      </c>
      <c r="N56" s="63">
        <f t="shared" si="4"/>
        <v>7.4000000000000732E-2</v>
      </c>
      <c r="O56" s="67">
        <f t="shared" si="5"/>
        <v>0.58999999999999986</v>
      </c>
      <c r="P56" s="63">
        <f t="shared" si="5"/>
        <v>0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2.19</v>
      </c>
      <c r="D57" s="70">
        <f t="shared" si="3"/>
        <v>0</v>
      </c>
      <c r="E57" s="70">
        <f t="shared" si="3"/>
        <v>0</v>
      </c>
      <c r="F57" s="70">
        <f t="shared" si="3"/>
        <v>0.37</v>
      </c>
      <c r="G57" s="70">
        <f t="shared" si="3"/>
        <v>0</v>
      </c>
      <c r="H57" s="70">
        <f t="shared" si="3"/>
        <v>0</v>
      </c>
      <c r="I57" s="69">
        <f t="shared" si="4"/>
        <v>1.1740000000000004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9.9000000000000199E-2</v>
      </c>
      <c r="O57" s="69">
        <f t="shared" si="5"/>
        <v>0.58999999999999986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N58"/>
  <sheetViews>
    <sheetView topLeftCell="A12" zoomScale="50" zoomScaleNormal="50" workbookViewId="0">
      <selection activeCell="C52" sqref="C52"/>
    </sheetView>
  </sheetViews>
  <sheetFormatPr defaultRowHeight="15"/>
  <cols>
    <col min="1" max="2" width="9.140625" style="1"/>
    <col min="3" max="3" width="9.85546875" style="1" bestFit="1" customWidth="1"/>
    <col min="4" max="16384" width="9.140625" style="1"/>
  </cols>
  <sheetData>
    <row r="1" spans="1:40">
      <c r="A1" s="94" t="s">
        <v>13</v>
      </c>
      <c r="B1" s="94"/>
      <c r="C1" s="43" t="s">
        <v>34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((3.349-2.9)/H12)+((4.199-3.725)/H12)+((4.724-4.25)/H12)</f>
        <v>0.52126865671641798</v>
      </c>
      <c r="D6" s="20">
        <f>((3.724-3.675)/H12)</f>
        <v>1.8283582089552379E-2</v>
      </c>
      <c r="E6" s="20">
        <f>((4.249-4.2)/H12)+((5.099-5.05)/H12)</f>
        <v>3.6567164179104425E-2</v>
      </c>
      <c r="F6" s="20">
        <f>((3.674-3.625)/H12)+((4.824-4.725)/H12)+((F12-5.3)/H12)</f>
        <v>6.8283582089552333E-2</v>
      </c>
      <c r="G6" s="20">
        <v>0</v>
      </c>
      <c r="H6" s="21">
        <f>((2.899-D12)/H12)+((3.624-3.35)/H12)+((5.049-4.825)/H12)+((5.299-5.1)/H12)</f>
        <v>0.35111940298507505</v>
      </c>
      <c r="I6" s="2">
        <f>(L12-6.1)/N12</f>
        <v>0.22727272727272776</v>
      </c>
      <c r="J6" s="2">
        <f>((3.724-3.675)/N12)+((5.574-5.525)/N12)+((5.949-5.9)/N12)</f>
        <v>0.14848484848484778</v>
      </c>
      <c r="K6" s="2"/>
      <c r="L6" s="2">
        <f>((5.349-J12)/N12)+((5.749-5.7)/N12)</f>
        <v>6.3636363636363338E-2</v>
      </c>
      <c r="M6" s="2"/>
      <c r="N6" s="10">
        <f>((5.524-5.35)/N12)+((5.699-5.575)/N12)+((5.899-5.75)/N12)+((6.049-5.95)/N12)</f>
        <v>0.55151515151515174</v>
      </c>
      <c r="O6" s="1">
        <v>1</v>
      </c>
      <c r="P6" s="2"/>
      <c r="Q6" s="2"/>
      <c r="R6" s="2"/>
      <c r="S6" s="2"/>
      <c r="T6" s="10"/>
    </row>
    <row r="7" spans="1:40">
      <c r="B7" s="11" t="s">
        <v>1</v>
      </c>
      <c r="C7" s="22">
        <f>(4.924-D12)/H12</f>
        <v>0.84664179104477633</v>
      </c>
      <c r="D7" s="2"/>
      <c r="E7" s="2"/>
      <c r="F7" s="2">
        <f>(5.124-5.075)/H12</f>
        <v>1.8283582089552046E-2</v>
      </c>
      <c r="G7" s="2"/>
      <c r="H7" s="10">
        <f>((5.074-4.925)/H12)+((F12-5.125)/H12)</f>
        <v>0.133955223880597</v>
      </c>
      <c r="I7" s="2">
        <f>(6.249-5.825)/N12</f>
        <v>0.42828282828282765</v>
      </c>
      <c r="J7" s="2"/>
      <c r="K7" s="2"/>
      <c r="L7" s="2">
        <f>(5.474-5.425)/N12</f>
        <v>4.9494949494949862E-2</v>
      </c>
      <c r="M7" s="2"/>
      <c r="N7" s="10">
        <f>((5.424-J12)/N12)+((5.824-5.475)/N12)+((L12-6.25)/N12)</f>
        <v>0.51818181818181885</v>
      </c>
      <c r="O7" s="2">
        <f>(6.765-6.6)/T12</f>
        <v>0.3750000000000005</v>
      </c>
      <c r="P7" s="2"/>
      <c r="Q7" s="2"/>
      <c r="R7" s="2">
        <f>(6.449-6.4)/T12</f>
        <v>0.11136363636363533</v>
      </c>
      <c r="S7" s="2"/>
      <c r="T7" s="10">
        <f>((6.399-P12)/T12)+((6.599-6.45)/T12)</f>
        <v>0.50681818181818206</v>
      </c>
    </row>
    <row r="8" spans="1:40">
      <c r="B8" s="11" t="s">
        <v>2</v>
      </c>
      <c r="C8" s="22">
        <f>((3.749-D12)/H12)+((F12-4.475)/H12)</f>
        <v>0.72910447761194042</v>
      </c>
      <c r="D8" s="2"/>
      <c r="E8" s="2"/>
      <c r="F8" s="2"/>
      <c r="G8" s="2">
        <f>(4.474-3.75)/H12</f>
        <v>0.27014925373134335</v>
      </c>
      <c r="H8" s="10"/>
      <c r="I8" s="2">
        <v>1</v>
      </c>
      <c r="J8" s="2"/>
      <c r="K8" s="2"/>
      <c r="L8" s="2"/>
      <c r="M8" s="2"/>
      <c r="N8" s="10"/>
      <c r="O8" s="2">
        <v>1</v>
      </c>
      <c r="P8" s="2"/>
      <c r="Q8" s="2"/>
      <c r="R8" s="2"/>
      <c r="S8" s="2"/>
      <c r="T8" s="10"/>
    </row>
    <row r="9" spans="1:40">
      <c r="B9" s="11" t="s">
        <v>3</v>
      </c>
      <c r="C9" s="22">
        <f>(( 2.849-D12)/H12)+((F12-3.15)/H12)</f>
        <v>0.88768656716417915</v>
      </c>
      <c r="D9" s="2"/>
      <c r="E9" s="2">
        <f>(3.049-3)/H12</f>
        <v>1.8283582089552212E-2</v>
      </c>
      <c r="F9" s="2">
        <f>(3.149-3.1)/H12</f>
        <v>1.8283582089552212E-2</v>
      </c>
      <c r="G9" s="2"/>
      <c r="H9" s="10">
        <f>((3.099-3.05)/H12)+((2.999-2.85)/H12)</f>
        <v>7.3880597014925525E-2</v>
      </c>
      <c r="I9" s="2">
        <v>1</v>
      </c>
      <c r="J9" s="2"/>
      <c r="K9" s="2"/>
      <c r="L9" s="2"/>
      <c r="M9" s="2"/>
      <c r="N9" s="10"/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(4.049-D12)/H12</f>
        <v>0.52014925373134346</v>
      </c>
      <c r="D10" s="2"/>
      <c r="E10" s="2">
        <f>((4.474-4.375)/H12)+((4.924-4.85)/H12)</f>
        <v>6.4552238805970497E-2</v>
      </c>
      <c r="F10" s="2">
        <f>((4.149-4.05)/H12)</f>
        <v>3.6940298507462756E-2</v>
      </c>
      <c r="G10" s="2"/>
      <c r="H10" s="10">
        <f>((4.374-4.15)/H12)+((4.849-4.475)/H12)+((F12-4.925)/H12)</f>
        <v>0.37611940298507462</v>
      </c>
      <c r="I10" s="2">
        <f>(5.874-5.625)/N12</f>
        <v>0.25151515151515114</v>
      </c>
      <c r="J10" s="2">
        <f>((5.624-5.5)/N12)+((5.924-5.875)/N12)</f>
        <v>0.17474747474747476</v>
      </c>
      <c r="K10" s="2">
        <f>(5.499-5.45)/N12</f>
        <v>4.9494949494948967E-2</v>
      </c>
      <c r="L10" s="2"/>
      <c r="M10" s="2"/>
      <c r="N10" s="10">
        <f>((5.449-J12)/N12)+((L12-5.925)/N12)</f>
        <v>0.51919191919191932</v>
      </c>
      <c r="O10" s="2"/>
      <c r="P10" s="2"/>
      <c r="Q10" s="2"/>
      <c r="R10" s="2">
        <f>(6.765-6.725)/T12</f>
        <v>9.0909090909091092E-2</v>
      </c>
      <c r="S10" s="2"/>
      <c r="T10" s="10">
        <f>(6.724-P12)/T12</f>
        <v>0.90681818181818286</v>
      </c>
    </row>
    <row r="11" spans="1:40" ht="15.75" thickBot="1">
      <c r="B11" s="12" t="s">
        <v>5</v>
      </c>
      <c r="C11" s="23">
        <f>((3.024-2.975)/H12)+((4.224-3.2)/H12)+((F12-4.475)/H12)</f>
        <v>0.72126865671641793</v>
      </c>
      <c r="D11" s="13"/>
      <c r="E11" s="13"/>
      <c r="F11" s="13"/>
      <c r="G11" s="13">
        <f>(3.199-3.025)/H12</f>
        <v>6.4925373134328335E-2</v>
      </c>
      <c r="H11" s="14">
        <f>((2.974-D12)/H12)+((4.474-4.225)/H12)</f>
        <v>0.21194029850746304</v>
      </c>
      <c r="I11" s="13">
        <f>((5.424-J12)/N12)+((L12-6.125)/N12)</f>
        <v>0.29191919191919247</v>
      </c>
      <c r="J11" s="13"/>
      <c r="K11" s="13"/>
      <c r="L11" s="13"/>
      <c r="M11" s="13"/>
      <c r="N11" s="14">
        <f>(6.124-5.425)/N12</f>
        <v>0.70606060606060572</v>
      </c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22</v>
      </c>
      <c r="C12" s="32" t="s">
        <v>23</v>
      </c>
      <c r="D12" s="33">
        <v>2.6549999999999998</v>
      </c>
      <c r="E12" s="34" t="s">
        <v>24</v>
      </c>
      <c r="F12" s="33">
        <v>5.335</v>
      </c>
      <c r="G12" s="30" t="s">
        <v>21</v>
      </c>
      <c r="H12" s="33">
        <f>F12-D12</f>
        <v>2.68</v>
      </c>
      <c r="I12" s="33" t="s">
        <v>23</v>
      </c>
      <c r="J12" s="33">
        <f>F12</f>
        <v>5.335</v>
      </c>
      <c r="K12" s="33" t="s">
        <v>24</v>
      </c>
      <c r="L12" s="33">
        <v>6.3250000000000002</v>
      </c>
      <c r="M12" s="33" t="s">
        <v>21</v>
      </c>
      <c r="N12" s="33">
        <f>L12-J12</f>
        <v>0.99000000000000021</v>
      </c>
      <c r="O12" s="33" t="s">
        <v>23</v>
      </c>
      <c r="P12" s="33">
        <f>L12</f>
        <v>6.3250000000000002</v>
      </c>
      <c r="Q12" s="33" t="s">
        <v>24</v>
      </c>
      <c r="R12" s="33">
        <v>6.7649999999999997</v>
      </c>
      <c r="S12" s="33" t="s">
        <v>21</v>
      </c>
      <c r="T12" s="18">
        <f>R12-P12</f>
        <v>0.4399999999999995</v>
      </c>
    </row>
    <row r="14" spans="1:40" ht="15.75" thickBot="1">
      <c r="B14" s="41" t="s">
        <v>31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20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28</v>
      </c>
      <c r="W15" s="85" t="s">
        <v>20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>
        <v>1</v>
      </c>
      <c r="D18" s="20">
        <v>1</v>
      </c>
      <c r="E18" s="20"/>
      <c r="F18" s="20"/>
      <c r="G18" s="20"/>
      <c r="H18" s="21">
        <v>1</v>
      </c>
      <c r="I18" s="1">
        <v>1</v>
      </c>
      <c r="J18" s="2">
        <v>1</v>
      </c>
      <c r="K18" s="2"/>
      <c r="L18" s="2"/>
      <c r="M18" s="2"/>
      <c r="N18" s="10"/>
      <c r="O18" s="2">
        <v>1</v>
      </c>
      <c r="P18" s="2"/>
      <c r="Q18" s="2"/>
      <c r="R18" s="2"/>
      <c r="S18" s="2"/>
      <c r="T18" s="10"/>
      <c r="V18" s="11" t="s">
        <v>7</v>
      </c>
      <c r="W18" s="19">
        <v>1</v>
      </c>
      <c r="X18" s="20"/>
      <c r="Y18" s="20"/>
      <c r="Z18" s="20">
        <v>1</v>
      </c>
      <c r="AA18" s="20"/>
      <c r="AB18" s="21"/>
      <c r="AC18" s="2">
        <v>1</v>
      </c>
      <c r="AD18" s="2"/>
      <c r="AE18" s="2"/>
      <c r="AF18" s="2"/>
      <c r="AG18" s="2"/>
      <c r="AH18" s="10"/>
      <c r="AI18" s="2">
        <v>1</v>
      </c>
      <c r="AJ18" s="2"/>
      <c r="AK18" s="2"/>
      <c r="AL18" s="2"/>
      <c r="AM18" s="2"/>
      <c r="AN18" s="10"/>
    </row>
    <row r="19" spans="2:40">
      <c r="B19" s="11" t="s">
        <v>8</v>
      </c>
      <c r="C19" s="22"/>
      <c r="D19" s="2">
        <v>1</v>
      </c>
      <c r="E19" s="2"/>
      <c r="F19" s="2">
        <v>1</v>
      </c>
      <c r="G19" s="2"/>
      <c r="H19" s="10"/>
      <c r="I19" s="2"/>
      <c r="J19" s="2">
        <v>1</v>
      </c>
      <c r="K19" s="2"/>
      <c r="L19" s="2"/>
      <c r="M19" s="2"/>
      <c r="N19" s="10">
        <v>3</v>
      </c>
      <c r="O19" s="2"/>
      <c r="P19" s="2">
        <v>1</v>
      </c>
      <c r="Q19" s="2"/>
      <c r="R19" s="2"/>
      <c r="S19" s="2"/>
      <c r="T19" s="10"/>
      <c r="V19" s="11" t="s">
        <v>8</v>
      </c>
      <c r="W19" s="22"/>
      <c r="X19" s="2">
        <v>1</v>
      </c>
      <c r="Y19" s="2"/>
      <c r="Z19" s="2"/>
      <c r="AA19" s="2"/>
      <c r="AB19" s="10"/>
      <c r="AC19" s="2"/>
      <c r="AD19" s="2">
        <v>1</v>
      </c>
      <c r="AE19" s="2"/>
      <c r="AF19" s="2"/>
      <c r="AG19" s="2"/>
      <c r="AH19" s="10"/>
      <c r="AI19" s="2"/>
      <c r="AJ19" s="2">
        <v>1</v>
      </c>
      <c r="AK19" s="2"/>
      <c r="AL19" s="2"/>
      <c r="AM19" s="2"/>
      <c r="AN19" s="10"/>
    </row>
    <row r="20" spans="2:40">
      <c r="B20" s="11" t="s">
        <v>9</v>
      </c>
      <c r="C20" s="22">
        <v>1</v>
      </c>
      <c r="D20" s="2"/>
      <c r="E20" s="2">
        <v>1</v>
      </c>
      <c r="F20" s="2"/>
      <c r="G20" s="2"/>
      <c r="H20" s="10">
        <v>2</v>
      </c>
      <c r="I20" s="2"/>
      <c r="J20" s="2"/>
      <c r="K20" s="2">
        <v>1</v>
      </c>
      <c r="L20" s="2"/>
      <c r="M20" s="2"/>
      <c r="N20" s="10"/>
      <c r="O20" s="2"/>
      <c r="P20" s="2"/>
      <c r="Q20" s="2">
        <v>1</v>
      </c>
      <c r="R20" s="2"/>
      <c r="S20" s="2"/>
      <c r="T20" s="10"/>
      <c r="V20" s="11" t="s">
        <v>9</v>
      </c>
      <c r="W20" s="22"/>
      <c r="X20" s="2"/>
      <c r="Y20" s="2">
        <v>1</v>
      </c>
      <c r="Z20" s="2"/>
      <c r="AA20" s="2"/>
      <c r="AB20" s="10">
        <v>1</v>
      </c>
      <c r="AC20" s="2"/>
      <c r="AD20" s="2"/>
      <c r="AE20" s="2">
        <v>1</v>
      </c>
      <c r="AF20" s="2"/>
      <c r="AG20" s="2"/>
      <c r="AH20" s="10"/>
      <c r="AI20" s="2"/>
      <c r="AJ20" s="2"/>
      <c r="AK20" s="2">
        <v>1</v>
      </c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>
        <v>1</v>
      </c>
      <c r="G21" s="2"/>
      <c r="H21" s="10">
        <v>2</v>
      </c>
      <c r="I21" s="2"/>
      <c r="J21" s="2"/>
      <c r="K21" s="2"/>
      <c r="L21" s="2">
        <v>1</v>
      </c>
      <c r="M21" s="2"/>
      <c r="N21" s="10">
        <v>1</v>
      </c>
      <c r="O21" s="2"/>
      <c r="P21" s="2"/>
      <c r="Q21" s="2"/>
      <c r="R21" s="2">
        <v>1</v>
      </c>
      <c r="S21" s="2"/>
      <c r="T21" s="10"/>
      <c r="V21" s="11" t="s">
        <v>10</v>
      </c>
      <c r="W21" s="22"/>
      <c r="X21" s="2"/>
      <c r="Y21" s="2"/>
      <c r="Z21" s="2">
        <v>1</v>
      </c>
      <c r="AA21" s="2"/>
      <c r="AB21" s="10">
        <v>1</v>
      </c>
      <c r="AC21" s="2"/>
      <c r="AD21" s="2"/>
      <c r="AE21" s="2"/>
      <c r="AF21" s="2">
        <v>1</v>
      </c>
      <c r="AG21" s="2"/>
      <c r="AH21" s="10"/>
      <c r="AI21" s="2"/>
      <c r="AJ21" s="2"/>
      <c r="AK21" s="2"/>
      <c r="AL21" s="2">
        <v>1</v>
      </c>
      <c r="AM21" s="2"/>
      <c r="AN21" s="10"/>
    </row>
    <row r="22" spans="2:40">
      <c r="B22" s="11" t="s">
        <v>11</v>
      </c>
      <c r="C22" s="22"/>
      <c r="E22" s="2"/>
      <c r="F22" s="2"/>
      <c r="G22" s="2">
        <v>1</v>
      </c>
      <c r="H22" s="10"/>
      <c r="I22" s="2"/>
      <c r="K22" s="2"/>
      <c r="L22" s="2"/>
      <c r="M22" s="2">
        <v>1</v>
      </c>
      <c r="N22" s="10"/>
      <c r="O22" s="2"/>
      <c r="Q22" s="2"/>
      <c r="R22" s="2"/>
      <c r="S22" s="2">
        <v>1</v>
      </c>
      <c r="T22" s="10"/>
      <c r="V22" s="11" t="s">
        <v>11</v>
      </c>
      <c r="X22" s="2"/>
      <c r="Z22" s="2"/>
      <c r="AA22" s="2">
        <v>1</v>
      </c>
      <c r="AB22" s="10"/>
      <c r="AC22" s="2"/>
      <c r="AD22" s="2"/>
      <c r="AE22" s="2"/>
      <c r="AF22" s="2"/>
      <c r="AG22" s="2">
        <v>1</v>
      </c>
      <c r="AH22" s="10"/>
      <c r="AI22" s="2"/>
      <c r="AJ22" s="2"/>
      <c r="AK22" s="2"/>
      <c r="AL22" s="2"/>
      <c r="AM22" s="2">
        <v>1</v>
      </c>
      <c r="AN22" s="10"/>
    </row>
    <row r="23" spans="2:40" ht="15.75" thickBot="1">
      <c r="B23" s="12" t="s">
        <v>12</v>
      </c>
      <c r="C23" s="23">
        <v>1</v>
      </c>
      <c r="D23" s="2"/>
      <c r="E23" s="13">
        <v>2</v>
      </c>
      <c r="F23" s="13">
        <v>1</v>
      </c>
      <c r="G23" s="13"/>
      <c r="H23" s="14">
        <v>1</v>
      </c>
      <c r="I23" s="13"/>
      <c r="J23" s="2">
        <v>2</v>
      </c>
      <c r="K23" s="13"/>
      <c r="L23" s="13">
        <v>2</v>
      </c>
      <c r="M23" s="13"/>
      <c r="N23" s="14">
        <v>1</v>
      </c>
      <c r="O23" s="13"/>
      <c r="P23" s="2"/>
      <c r="Q23" s="13"/>
      <c r="R23" s="13"/>
      <c r="S23" s="13"/>
      <c r="T23" s="14">
        <v>1</v>
      </c>
      <c r="V23" s="12" t="s">
        <v>12</v>
      </c>
      <c r="W23" s="22">
        <v>1</v>
      </c>
      <c r="X23" s="13"/>
      <c r="Y23" s="2">
        <v>1</v>
      </c>
      <c r="Z23" s="13"/>
      <c r="AA23" s="13"/>
      <c r="AB23" s="14">
        <v>1</v>
      </c>
      <c r="AC23" s="13"/>
      <c r="AD23" s="13"/>
      <c r="AE23" s="13"/>
      <c r="AF23" s="13"/>
      <c r="AG23" s="13"/>
      <c r="AH23" s="14">
        <v>1</v>
      </c>
      <c r="AI23" s="13"/>
      <c r="AJ23" s="13"/>
      <c r="AK23" s="13"/>
      <c r="AL23" s="13"/>
      <c r="AM23" s="13"/>
      <c r="AN23" s="14">
        <v>1</v>
      </c>
    </row>
    <row r="24" spans="2:40" ht="15.75" thickBot="1">
      <c r="B24" s="35" t="s">
        <v>26</v>
      </c>
      <c r="C24" s="32">
        <f>SUM(C18:H23)</f>
        <v>18</v>
      </c>
      <c r="D24" s="16"/>
      <c r="E24" s="17"/>
      <c r="F24" s="17"/>
      <c r="G24" s="17"/>
      <c r="H24" s="18"/>
      <c r="I24" s="32">
        <f>SUM(I18:N23)</f>
        <v>15</v>
      </c>
      <c r="J24" s="17"/>
      <c r="K24" s="17"/>
      <c r="L24" s="17"/>
      <c r="M24" s="17"/>
      <c r="N24" s="18"/>
      <c r="O24" s="32">
        <f>SUM(O18:T23)</f>
        <v>6</v>
      </c>
      <c r="P24" s="17"/>
      <c r="Q24" s="17"/>
      <c r="R24" s="17"/>
      <c r="S24" s="17"/>
      <c r="T24" s="18"/>
      <c r="V24" s="35" t="s">
        <v>26</v>
      </c>
      <c r="W24" s="32">
        <f>SUM(W18:AB23)</f>
        <v>11</v>
      </c>
      <c r="X24" s="16"/>
      <c r="Y24" s="17"/>
      <c r="Z24" s="17"/>
      <c r="AA24" s="17"/>
      <c r="AB24" s="18"/>
      <c r="AC24" s="32">
        <f>SUM(AC18:AH23)</f>
        <v>6</v>
      </c>
      <c r="AD24" s="17"/>
      <c r="AE24" s="17"/>
      <c r="AF24" s="17"/>
      <c r="AG24" s="17"/>
      <c r="AH24" s="18"/>
      <c r="AI24" s="32">
        <f>SUM(AI18:AN23)</f>
        <v>6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25</v>
      </c>
      <c r="C26" s="85" t="s">
        <v>20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30</v>
      </c>
      <c r="W26" s="85" t="s">
        <v>20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/>
      <c r="H29" s="21"/>
      <c r="I29" s="2">
        <v>1</v>
      </c>
      <c r="J29" s="2"/>
      <c r="K29" s="2"/>
      <c r="L29" s="2"/>
      <c r="M29" s="2"/>
      <c r="N29" s="10">
        <v>1</v>
      </c>
      <c r="O29" s="2">
        <v>1</v>
      </c>
      <c r="P29" s="2"/>
      <c r="Q29" s="2"/>
      <c r="R29" s="2"/>
      <c r="S29" s="2"/>
      <c r="T29" s="10">
        <v>1</v>
      </c>
      <c r="V29" s="11" t="s">
        <v>7</v>
      </c>
      <c r="W29" s="19">
        <v>1</v>
      </c>
      <c r="X29" s="20"/>
      <c r="Y29" s="20"/>
      <c r="Z29" s="20"/>
      <c r="AA29" s="20"/>
      <c r="AB29" s="21"/>
      <c r="AC29" s="2">
        <v>1</v>
      </c>
      <c r="AD29" s="2">
        <v>1</v>
      </c>
      <c r="AE29" s="2"/>
      <c r="AF29" s="2"/>
      <c r="AG29" s="2"/>
      <c r="AH29" s="10"/>
      <c r="AI29" s="2">
        <v>1</v>
      </c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>
        <v>1</v>
      </c>
      <c r="E30" s="2"/>
      <c r="F30" s="2"/>
      <c r="G30" s="2"/>
      <c r="H30" s="10"/>
      <c r="I30" s="2"/>
      <c r="J30" s="2">
        <v>1</v>
      </c>
      <c r="K30" s="2"/>
      <c r="L30" s="2"/>
      <c r="M30" s="2"/>
      <c r="N30" s="10"/>
      <c r="O30" s="2"/>
      <c r="P30" s="2">
        <v>1</v>
      </c>
      <c r="Q30" s="2"/>
      <c r="R30" s="2"/>
      <c r="S30" s="2"/>
      <c r="T30" s="10"/>
      <c r="V30" s="11" t="s">
        <v>8</v>
      </c>
      <c r="W30" s="22"/>
      <c r="X30" s="2">
        <v>1</v>
      </c>
      <c r="Y30" s="2"/>
      <c r="Z30" s="2"/>
      <c r="AA30" s="2"/>
      <c r="AB30" s="10"/>
      <c r="AC30" s="2">
        <v>1</v>
      </c>
      <c r="AD30" s="2">
        <v>1</v>
      </c>
      <c r="AE30" s="2">
        <v>1</v>
      </c>
      <c r="AF30" s="2"/>
      <c r="AG30" s="2"/>
      <c r="AH30" s="10"/>
      <c r="AI30" s="2"/>
      <c r="AJ30" s="2">
        <v>1</v>
      </c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>
        <v>1</v>
      </c>
      <c r="F31" s="2"/>
      <c r="G31" s="2"/>
      <c r="H31" s="10"/>
      <c r="I31" s="2"/>
      <c r="J31" s="2"/>
      <c r="K31" s="2">
        <v>1</v>
      </c>
      <c r="L31" s="2"/>
      <c r="M31" s="2"/>
      <c r="N31" s="10"/>
      <c r="O31" s="2"/>
      <c r="P31" s="2"/>
      <c r="Q31" s="2">
        <v>1</v>
      </c>
      <c r="R31" s="2"/>
      <c r="S31" s="2"/>
      <c r="T31" s="10"/>
      <c r="V31" s="11" t="s">
        <v>9</v>
      </c>
      <c r="W31" s="22"/>
      <c r="X31" s="2"/>
      <c r="Y31" s="2">
        <v>1</v>
      </c>
      <c r="Z31" s="2"/>
      <c r="AA31" s="2"/>
      <c r="AB31" s="10">
        <v>1</v>
      </c>
      <c r="AC31" s="2"/>
      <c r="AD31" s="2"/>
      <c r="AE31" s="2">
        <v>1</v>
      </c>
      <c r="AF31" s="2"/>
      <c r="AG31" s="2"/>
      <c r="AH31" s="10">
        <v>1</v>
      </c>
      <c r="AI31" s="2"/>
      <c r="AJ31" s="2"/>
      <c r="AK31" s="2">
        <v>1</v>
      </c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>
        <v>1</v>
      </c>
      <c r="G32" s="2"/>
      <c r="H32" s="10">
        <v>1</v>
      </c>
      <c r="I32" s="2"/>
      <c r="J32" s="2"/>
      <c r="K32" s="2"/>
      <c r="L32" s="2">
        <v>1</v>
      </c>
      <c r="M32" s="2"/>
      <c r="N32" s="10">
        <v>1</v>
      </c>
      <c r="O32" s="2"/>
      <c r="P32" s="2"/>
      <c r="Q32" s="2"/>
      <c r="R32" s="2">
        <v>1</v>
      </c>
      <c r="S32" s="2"/>
      <c r="T32" s="10">
        <v>1</v>
      </c>
      <c r="V32" s="11" t="s">
        <v>10</v>
      </c>
      <c r="W32" s="22">
        <v>1</v>
      </c>
      <c r="X32" s="2"/>
      <c r="Y32" s="2"/>
      <c r="Z32" s="2">
        <v>1</v>
      </c>
      <c r="AA32" s="2"/>
      <c r="AB32" s="10">
        <v>1</v>
      </c>
      <c r="AC32" s="2"/>
      <c r="AD32" s="2"/>
      <c r="AE32" s="2"/>
      <c r="AF32" s="2">
        <v>1</v>
      </c>
      <c r="AG32" s="2"/>
      <c r="AH32" s="10"/>
      <c r="AI32" s="2"/>
      <c r="AJ32" s="2"/>
      <c r="AK32" s="2"/>
      <c r="AL32" s="2">
        <v>1</v>
      </c>
      <c r="AM32" s="2"/>
      <c r="AN32" s="10">
        <v>1</v>
      </c>
    </row>
    <row r="33" spans="2:40">
      <c r="B33" s="11" t="s">
        <v>11</v>
      </c>
      <c r="C33" s="22"/>
      <c r="D33" s="2"/>
      <c r="E33" s="2"/>
      <c r="F33" s="2"/>
      <c r="G33" s="2">
        <v>1</v>
      </c>
      <c r="H33" s="10"/>
      <c r="I33" s="2"/>
      <c r="J33" s="2"/>
      <c r="K33" s="2"/>
      <c r="M33" s="2">
        <v>1</v>
      </c>
      <c r="N33" s="10"/>
      <c r="O33" s="2"/>
      <c r="P33" s="2"/>
      <c r="Q33" s="2"/>
      <c r="R33" s="2"/>
      <c r="S33" s="2">
        <v>1</v>
      </c>
      <c r="T33" s="10"/>
      <c r="V33" s="11" t="s">
        <v>11</v>
      </c>
      <c r="Z33" s="2"/>
      <c r="AA33" s="2">
        <v>1</v>
      </c>
      <c r="AB33" s="10"/>
      <c r="AC33" s="2"/>
      <c r="AE33" s="2"/>
      <c r="AF33" s="2"/>
      <c r="AG33" s="2">
        <v>1</v>
      </c>
      <c r="AH33" s="10"/>
      <c r="AI33" s="2"/>
      <c r="AJ33" s="2"/>
      <c r="AK33" s="2"/>
      <c r="AL33" s="2"/>
      <c r="AM33" s="2">
        <v>1</v>
      </c>
      <c r="AN33" s="10"/>
    </row>
    <row r="34" spans="2:40" ht="15.75" thickBot="1">
      <c r="B34" s="12" t="s">
        <v>12</v>
      </c>
      <c r="C34" s="23">
        <v>1</v>
      </c>
      <c r="D34" s="13"/>
      <c r="E34" s="13"/>
      <c r="F34" s="13">
        <v>1</v>
      </c>
      <c r="G34" s="13"/>
      <c r="H34" s="14">
        <v>1</v>
      </c>
      <c r="I34" s="13">
        <v>1</v>
      </c>
      <c r="J34" s="13"/>
      <c r="K34" s="13"/>
      <c r="L34" s="2">
        <v>1</v>
      </c>
      <c r="M34" s="13"/>
      <c r="N34" s="14">
        <v>1</v>
      </c>
      <c r="O34" s="13"/>
      <c r="P34" s="13"/>
      <c r="Q34" s="13"/>
      <c r="R34" s="13">
        <v>1</v>
      </c>
      <c r="S34" s="13"/>
      <c r="T34" s="14">
        <v>1</v>
      </c>
      <c r="V34" s="12" t="s">
        <v>12</v>
      </c>
      <c r="W34" s="22"/>
      <c r="X34" s="2"/>
      <c r="Y34" s="2">
        <v>2</v>
      </c>
      <c r="Z34" s="13">
        <v>1</v>
      </c>
      <c r="AA34" s="13"/>
      <c r="AB34" s="14">
        <v>1</v>
      </c>
      <c r="AC34" s="13"/>
      <c r="AD34" s="2">
        <v>1</v>
      </c>
      <c r="AE34" s="13"/>
      <c r="AF34" s="13"/>
      <c r="AG34" s="13"/>
      <c r="AH34" s="14">
        <v>1</v>
      </c>
      <c r="AI34" s="13"/>
      <c r="AJ34" s="13"/>
      <c r="AK34" s="13"/>
      <c r="AL34" s="13"/>
      <c r="AM34" s="13"/>
      <c r="AN34" s="14">
        <v>1</v>
      </c>
    </row>
    <row r="35" spans="2:40" ht="15.75" thickBot="1">
      <c r="B35" s="36" t="s">
        <v>26</v>
      </c>
      <c r="C35" s="32">
        <f>SUM(C29:H34)</f>
        <v>9</v>
      </c>
      <c r="D35" s="16"/>
      <c r="E35" s="17"/>
      <c r="F35" s="17"/>
      <c r="G35" s="17"/>
      <c r="H35" s="18"/>
      <c r="I35" s="32">
        <f>SUM(I29:N34)</f>
        <v>10</v>
      </c>
      <c r="J35" s="17"/>
      <c r="K35" s="17"/>
      <c r="L35" s="17"/>
      <c r="M35" s="17"/>
      <c r="N35" s="18"/>
      <c r="O35" s="32">
        <f>SUM(O29:T34)</f>
        <v>9</v>
      </c>
      <c r="P35" s="17"/>
      <c r="Q35" s="17"/>
      <c r="R35" s="17"/>
      <c r="S35" s="17"/>
      <c r="T35" s="18"/>
      <c r="V35" s="35" t="s">
        <v>26</v>
      </c>
      <c r="W35" s="32">
        <f>SUM(W29:AB34)</f>
        <v>12</v>
      </c>
      <c r="X35" s="16"/>
      <c r="Y35" s="17"/>
      <c r="Z35" s="17"/>
      <c r="AA35" s="17"/>
      <c r="AB35" s="18"/>
      <c r="AC35" s="32">
        <f>SUM(AC29:AH34)</f>
        <v>11</v>
      </c>
      <c r="AD35" s="17"/>
      <c r="AE35" s="17"/>
      <c r="AF35" s="17"/>
      <c r="AG35" s="17"/>
      <c r="AH35" s="18"/>
      <c r="AI35" s="32">
        <f>SUM(AI29:AN34)</f>
        <v>7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27</v>
      </c>
      <c r="C38" s="85" t="s">
        <v>20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29</v>
      </c>
      <c r="W38" s="85" t="s">
        <v>20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/>
      <c r="G41" s="20">
        <v>1</v>
      </c>
      <c r="H41" s="21"/>
      <c r="I41" s="2">
        <v>1</v>
      </c>
      <c r="J41" s="2"/>
      <c r="K41" s="2"/>
      <c r="L41" s="2"/>
      <c r="M41" s="2"/>
      <c r="N41" s="10"/>
      <c r="O41" s="2">
        <v>1</v>
      </c>
      <c r="P41" s="2"/>
      <c r="Q41" s="2"/>
      <c r="R41" s="2"/>
      <c r="S41" s="2"/>
      <c r="T41" s="10"/>
      <c r="V41" s="11" t="s">
        <v>7</v>
      </c>
      <c r="W41" s="19">
        <v>1</v>
      </c>
      <c r="X41" s="20"/>
      <c r="Y41" s="20"/>
      <c r="Z41" s="20"/>
      <c r="AA41" s="20">
        <v>1</v>
      </c>
      <c r="AB41" s="21">
        <v>2</v>
      </c>
      <c r="AC41" s="2">
        <v>1</v>
      </c>
      <c r="AD41" s="2"/>
      <c r="AE41" s="2"/>
      <c r="AF41" s="2"/>
      <c r="AG41" s="2"/>
      <c r="AH41" s="10">
        <v>1</v>
      </c>
      <c r="AI41" s="2">
        <v>1</v>
      </c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>
        <v>1</v>
      </c>
      <c r="E42" s="2"/>
      <c r="F42" s="2"/>
      <c r="G42" s="2"/>
      <c r="H42" s="10"/>
      <c r="I42" s="2"/>
      <c r="J42" s="2">
        <v>1</v>
      </c>
      <c r="K42" s="2"/>
      <c r="L42" s="2"/>
      <c r="M42" s="2"/>
      <c r="N42" s="10"/>
      <c r="O42" s="2"/>
      <c r="P42" s="2">
        <v>1</v>
      </c>
      <c r="Q42" s="2"/>
      <c r="R42" s="2"/>
      <c r="S42" s="2"/>
      <c r="T42" s="10"/>
      <c r="V42" s="11" t="s">
        <v>8</v>
      </c>
      <c r="W42" s="22"/>
      <c r="X42" s="2">
        <v>1</v>
      </c>
      <c r="Y42" s="2"/>
      <c r="Z42" s="2"/>
      <c r="AA42" s="2"/>
      <c r="AB42" s="10"/>
      <c r="AC42" s="2"/>
      <c r="AD42" s="2">
        <v>1</v>
      </c>
      <c r="AE42" s="2"/>
      <c r="AF42" s="2"/>
      <c r="AG42" s="2"/>
      <c r="AH42" s="10"/>
      <c r="AI42" s="2"/>
      <c r="AJ42" s="2">
        <v>1</v>
      </c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>
        <v>1</v>
      </c>
      <c r="F43" s="2"/>
      <c r="G43" s="2"/>
      <c r="H43" s="10"/>
      <c r="I43" s="2"/>
      <c r="J43" s="2"/>
      <c r="K43" s="2">
        <v>1</v>
      </c>
      <c r="L43" s="2"/>
      <c r="M43" s="2"/>
      <c r="N43" s="10"/>
      <c r="O43" s="2"/>
      <c r="P43" s="2"/>
      <c r="Q43" s="2">
        <v>1</v>
      </c>
      <c r="R43" s="2"/>
      <c r="S43" s="2"/>
      <c r="T43" s="10"/>
      <c r="V43" s="11" t="s">
        <v>9</v>
      </c>
      <c r="W43" s="22"/>
      <c r="X43" s="2"/>
      <c r="Y43" s="2">
        <v>1</v>
      </c>
      <c r="Z43" s="2"/>
      <c r="AA43" s="2"/>
      <c r="AB43" s="10"/>
      <c r="AC43" s="2"/>
      <c r="AD43" s="2"/>
      <c r="AE43" s="2">
        <v>1</v>
      </c>
      <c r="AF43" s="2"/>
      <c r="AG43" s="2"/>
      <c r="AH43" s="10"/>
      <c r="AI43" s="2"/>
      <c r="AJ43" s="2"/>
      <c r="AK43" s="2">
        <v>1</v>
      </c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>
        <v>1</v>
      </c>
      <c r="G44" s="2"/>
      <c r="H44" s="10"/>
      <c r="I44" s="2"/>
      <c r="J44" s="2"/>
      <c r="K44" s="2"/>
      <c r="L44" s="2">
        <v>1</v>
      </c>
      <c r="M44" s="2"/>
      <c r="N44" s="10"/>
      <c r="O44" s="2"/>
      <c r="P44" s="2"/>
      <c r="Q44" s="2"/>
      <c r="R44" s="2">
        <v>1</v>
      </c>
      <c r="S44" s="2"/>
      <c r="T44" s="10"/>
      <c r="V44" s="11" t="s">
        <v>10</v>
      </c>
      <c r="W44" s="22"/>
      <c r="X44" s="2"/>
      <c r="Y44" s="2"/>
      <c r="Z44" s="2">
        <v>1</v>
      </c>
      <c r="AA44" s="2"/>
      <c r="AB44" s="10"/>
      <c r="AC44" s="2"/>
      <c r="AD44" s="2"/>
      <c r="AE44" s="2"/>
      <c r="AF44" s="2">
        <v>1</v>
      </c>
      <c r="AG44" s="2"/>
      <c r="AH44" s="10"/>
      <c r="AI44" s="2"/>
      <c r="AJ44" s="2"/>
      <c r="AK44" s="2"/>
      <c r="AL44" s="2">
        <v>1</v>
      </c>
      <c r="AM44" s="2"/>
      <c r="AN44" s="10"/>
    </row>
    <row r="45" spans="2:40">
      <c r="B45" s="11" t="s">
        <v>11</v>
      </c>
      <c r="C45" s="22">
        <v>1</v>
      </c>
      <c r="D45" s="2"/>
      <c r="E45" s="2"/>
      <c r="F45" s="2"/>
      <c r="G45" s="2">
        <v>1</v>
      </c>
      <c r="H45" s="10"/>
      <c r="I45" s="2"/>
      <c r="J45" s="2"/>
      <c r="K45" s="2"/>
      <c r="L45" s="2"/>
      <c r="M45" s="2">
        <v>1</v>
      </c>
      <c r="N45" s="10"/>
      <c r="O45" s="2"/>
      <c r="P45" s="2"/>
      <c r="Q45" s="2"/>
      <c r="S45" s="2">
        <v>1</v>
      </c>
      <c r="T45" s="10"/>
      <c r="V45" s="11" t="s">
        <v>11</v>
      </c>
      <c r="W45" s="22">
        <v>1</v>
      </c>
      <c r="X45" s="2"/>
      <c r="Y45" s="2"/>
      <c r="Z45" s="2"/>
      <c r="AA45" s="2">
        <v>1</v>
      </c>
      <c r="AB45" s="10"/>
      <c r="AC45" s="2"/>
      <c r="AD45" s="2"/>
      <c r="AE45" s="2"/>
      <c r="AF45" s="2"/>
      <c r="AG45" s="2">
        <v>1</v>
      </c>
      <c r="AH45" s="10"/>
      <c r="AI45" s="2"/>
      <c r="AJ45" s="2"/>
      <c r="AK45" s="2"/>
      <c r="AL45" s="2"/>
      <c r="AM45" s="2">
        <v>1</v>
      </c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>
        <v>1</v>
      </c>
      <c r="I46" s="13"/>
      <c r="J46" s="13"/>
      <c r="K46" s="13"/>
      <c r="L46" s="13"/>
      <c r="M46" s="13"/>
      <c r="N46" s="14">
        <v>1</v>
      </c>
      <c r="O46" s="13"/>
      <c r="P46" s="13"/>
      <c r="Q46" s="13"/>
      <c r="R46" s="2"/>
      <c r="S46" s="13"/>
      <c r="T46" s="14">
        <v>1</v>
      </c>
      <c r="V46" s="12" t="s">
        <v>12</v>
      </c>
      <c r="W46" s="23">
        <v>1</v>
      </c>
      <c r="X46" s="13"/>
      <c r="Y46" s="13"/>
      <c r="Z46" s="13"/>
      <c r="AA46" s="13"/>
      <c r="AB46" s="14">
        <v>1</v>
      </c>
      <c r="AC46" s="13">
        <v>1</v>
      </c>
      <c r="AD46" s="13"/>
      <c r="AE46" s="13"/>
      <c r="AF46" s="13"/>
      <c r="AG46" s="13"/>
      <c r="AH46" s="14">
        <v>1</v>
      </c>
      <c r="AI46" s="13"/>
      <c r="AJ46" s="13"/>
      <c r="AK46" s="13"/>
      <c r="AL46" s="13"/>
      <c r="AM46" s="13"/>
      <c r="AN46" s="14">
        <v>1</v>
      </c>
    </row>
    <row r="47" spans="2:40" ht="15.75" thickBot="1">
      <c r="B47" s="36" t="s">
        <v>26</v>
      </c>
      <c r="C47" s="32">
        <f>SUM(C41:H46)</f>
        <v>8</v>
      </c>
      <c r="D47" s="16"/>
      <c r="E47" s="17"/>
      <c r="F47" s="17"/>
      <c r="G47" s="17"/>
      <c r="H47" s="18"/>
      <c r="I47" s="32">
        <f>SUM(I41:N46)</f>
        <v>6</v>
      </c>
      <c r="J47" s="17"/>
      <c r="K47" s="17"/>
      <c r="L47" s="17"/>
      <c r="M47" s="17"/>
      <c r="N47" s="18"/>
      <c r="O47" s="32">
        <f>SUM(O41:T46)</f>
        <v>6</v>
      </c>
      <c r="P47" s="17"/>
      <c r="Q47" s="17"/>
      <c r="R47" s="17"/>
      <c r="S47" s="17"/>
      <c r="T47" s="18"/>
      <c r="V47" s="35" t="s">
        <v>26</v>
      </c>
      <c r="W47" s="32">
        <f>SUM(W41:AB46)</f>
        <v>11</v>
      </c>
      <c r="X47" s="16"/>
      <c r="Y47" s="17"/>
      <c r="Z47" s="17"/>
      <c r="AA47" s="17"/>
      <c r="AB47" s="18"/>
      <c r="AC47" s="32">
        <f>SUM(AC41:AH46)</f>
        <v>8</v>
      </c>
      <c r="AD47" s="17"/>
      <c r="AE47" s="17"/>
      <c r="AF47" s="17"/>
      <c r="AG47" s="17"/>
      <c r="AH47" s="18"/>
      <c r="AI47" s="32">
        <f>SUM(AI41:AN46)</f>
        <v>6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42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40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40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40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1.3970000000000002</v>
      </c>
      <c r="D52" s="65">
        <f t="shared" ref="D52:H52" si="0">D6*$H$12</f>
        <v>4.9000000000000377E-2</v>
      </c>
      <c r="E52" s="65">
        <f t="shared" si="0"/>
        <v>9.7999999999999865E-2</v>
      </c>
      <c r="F52" s="65">
        <f t="shared" si="0"/>
        <v>0.18300000000000027</v>
      </c>
      <c r="G52" s="65">
        <f t="shared" si="0"/>
        <v>0</v>
      </c>
      <c r="H52" s="65">
        <f t="shared" si="0"/>
        <v>0.94100000000000117</v>
      </c>
      <c r="I52" s="64">
        <f>I6*$N$12</f>
        <v>0.22500000000000053</v>
      </c>
      <c r="J52" s="65">
        <f t="shared" ref="J52:N52" si="1">J6*$N$12</f>
        <v>0.14699999999999933</v>
      </c>
      <c r="K52" s="65">
        <f t="shared" si="1"/>
        <v>0</v>
      </c>
      <c r="L52" s="65">
        <f t="shared" si="1"/>
        <v>6.2999999999999723E-2</v>
      </c>
      <c r="M52" s="65">
        <f t="shared" si="1"/>
        <v>0</v>
      </c>
      <c r="N52" s="65">
        <f t="shared" si="1"/>
        <v>0.54600000000000037</v>
      </c>
      <c r="O52" s="64">
        <f>O6*$T$12</f>
        <v>0.4399999999999995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</v>
      </c>
    </row>
    <row r="53" spans="2:20">
      <c r="B53" s="26" t="s">
        <v>1</v>
      </c>
      <c r="C53" s="67">
        <f t="shared" ref="C53:H57" si="3">C7*$H$12</f>
        <v>2.2690000000000006</v>
      </c>
      <c r="D53" s="63">
        <f t="shared" si="3"/>
        <v>0</v>
      </c>
      <c r="E53" s="63">
        <f t="shared" si="3"/>
        <v>0</v>
      </c>
      <c r="F53" s="63">
        <f t="shared" si="3"/>
        <v>4.8999999999999488E-2</v>
      </c>
      <c r="G53" s="63">
        <f t="shared" si="3"/>
        <v>0</v>
      </c>
      <c r="H53" s="63">
        <f t="shared" si="3"/>
        <v>0.35899999999999999</v>
      </c>
      <c r="I53" s="67">
        <f t="shared" ref="I53:N57" si="4">I7*$N$12</f>
        <v>0.42399999999999949</v>
      </c>
      <c r="J53" s="63">
        <f t="shared" si="4"/>
        <v>0</v>
      </c>
      <c r="K53" s="63">
        <f t="shared" si="4"/>
        <v>0</v>
      </c>
      <c r="L53" s="63">
        <f t="shared" si="4"/>
        <v>4.9000000000000377E-2</v>
      </c>
      <c r="M53" s="63">
        <f t="shared" si="4"/>
        <v>0</v>
      </c>
      <c r="N53" s="63">
        <f t="shared" si="4"/>
        <v>0.51300000000000079</v>
      </c>
      <c r="O53" s="67">
        <f t="shared" ref="O53:T57" si="5">O7*$T$12</f>
        <v>0.16500000000000004</v>
      </c>
      <c r="P53" s="63">
        <f t="shared" si="5"/>
        <v>0</v>
      </c>
      <c r="Q53" s="63">
        <f t="shared" si="5"/>
        <v>0</v>
      </c>
      <c r="R53" s="63">
        <f t="shared" si="5"/>
        <v>4.8999999999999488E-2</v>
      </c>
      <c r="S53" s="63">
        <f t="shared" si="5"/>
        <v>0</v>
      </c>
      <c r="T53" s="68">
        <f t="shared" si="5"/>
        <v>0.22299999999999986</v>
      </c>
    </row>
    <row r="54" spans="2:20">
      <c r="B54" s="26" t="s">
        <v>2</v>
      </c>
      <c r="C54" s="67">
        <f t="shared" si="3"/>
        <v>1.9540000000000004</v>
      </c>
      <c r="D54" s="63">
        <f t="shared" si="3"/>
        <v>0</v>
      </c>
      <c r="E54" s="63">
        <f t="shared" si="3"/>
        <v>0</v>
      </c>
      <c r="F54" s="63">
        <f t="shared" si="3"/>
        <v>0</v>
      </c>
      <c r="G54" s="63">
        <f t="shared" si="3"/>
        <v>0.7240000000000002</v>
      </c>
      <c r="H54" s="63">
        <f t="shared" si="3"/>
        <v>0</v>
      </c>
      <c r="I54" s="67">
        <f t="shared" si="4"/>
        <v>0.99000000000000021</v>
      </c>
      <c r="J54" s="63">
        <f t="shared" si="4"/>
        <v>0</v>
      </c>
      <c r="K54" s="63">
        <f t="shared" si="4"/>
        <v>0</v>
      </c>
      <c r="L54" s="63">
        <f t="shared" si="4"/>
        <v>0</v>
      </c>
      <c r="M54" s="63">
        <f t="shared" si="4"/>
        <v>0</v>
      </c>
      <c r="N54" s="63">
        <f t="shared" si="4"/>
        <v>0</v>
      </c>
      <c r="O54" s="67">
        <f t="shared" si="5"/>
        <v>0.4399999999999995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</v>
      </c>
      <c r="T54" s="68">
        <f t="shared" si="5"/>
        <v>0</v>
      </c>
    </row>
    <row r="55" spans="2:20">
      <c r="B55" s="26" t="s">
        <v>3</v>
      </c>
      <c r="C55" s="67">
        <f t="shared" si="3"/>
        <v>2.3790000000000004</v>
      </c>
      <c r="D55" s="63">
        <f t="shared" si="3"/>
        <v>0</v>
      </c>
      <c r="E55" s="63">
        <f t="shared" si="3"/>
        <v>4.8999999999999932E-2</v>
      </c>
      <c r="F55" s="63">
        <f t="shared" si="3"/>
        <v>4.8999999999999932E-2</v>
      </c>
      <c r="G55" s="63">
        <f t="shared" si="3"/>
        <v>0</v>
      </c>
      <c r="H55" s="63">
        <f t="shared" si="3"/>
        <v>0.19800000000000043</v>
      </c>
      <c r="I55" s="67">
        <f t="shared" si="4"/>
        <v>0.99000000000000021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</v>
      </c>
      <c r="O55" s="67">
        <f t="shared" si="5"/>
        <v>0.4399999999999995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1.3940000000000006</v>
      </c>
      <c r="D56" s="63">
        <f t="shared" si="3"/>
        <v>0</v>
      </c>
      <c r="E56" s="63">
        <f t="shared" si="3"/>
        <v>0.17300000000000093</v>
      </c>
      <c r="F56" s="63">
        <f t="shared" si="3"/>
        <v>9.9000000000000185E-2</v>
      </c>
      <c r="G56" s="63">
        <f t="shared" si="3"/>
        <v>0</v>
      </c>
      <c r="H56" s="63">
        <f t="shared" si="3"/>
        <v>1.008</v>
      </c>
      <c r="I56" s="67">
        <f t="shared" si="4"/>
        <v>0.24899999999999967</v>
      </c>
      <c r="J56" s="63">
        <f t="shared" si="4"/>
        <v>0.17300000000000004</v>
      </c>
      <c r="K56" s="63">
        <f t="shared" si="4"/>
        <v>4.8999999999999488E-2</v>
      </c>
      <c r="L56" s="63">
        <f t="shared" si="4"/>
        <v>0</v>
      </c>
      <c r="M56" s="63">
        <f t="shared" si="4"/>
        <v>0</v>
      </c>
      <c r="N56" s="63">
        <f t="shared" si="4"/>
        <v>0.51400000000000023</v>
      </c>
      <c r="O56" s="67">
        <f t="shared" si="5"/>
        <v>0</v>
      </c>
      <c r="P56" s="63">
        <f t="shared" si="5"/>
        <v>0</v>
      </c>
      <c r="Q56" s="63">
        <f t="shared" si="5"/>
        <v>0</v>
      </c>
      <c r="R56" s="63">
        <f t="shared" si="5"/>
        <v>4.0000000000000036E-2</v>
      </c>
      <c r="S56" s="63">
        <f t="shared" si="5"/>
        <v>0</v>
      </c>
      <c r="T56" s="68">
        <f t="shared" si="5"/>
        <v>0.39900000000000002</v>
      </c>
    </row>
    <row r="57" spans="2:20" ht="15.75" thickBot="1">
      <c r="B57" s="26" t="s">
        <v>5</v>
      </c>
      <c r="C57" s="69">
        <f t="shared" si="3"/>
        <v>1.9330000000000003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0.17399999999999996</v>
      </c>
      <c r="H57" s="70">
        <f t="shared" si="3"/>
        <v>0.56800000000000095</v>
      </c>
      <c r="I57" s="69">
        <f t="shared" si="4"/>
        <v>0.28900000000000059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0.69899999999999984</v>
      </c>
      <c r="O57" s="69">
        <f t="shared" si="5"/>
        <v>0.4399999999999995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N58"/>
  <sheetViews>
    <sheetView topLeftCell="A7" zoomScale="50" zoomScaleNormal="50" workbookViewId="0">
      <selection activeCell="C52" sqref="C52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35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((4.099-D12)/H12)</f>
        <v>0.56077669902912619</v>
      </c>
      <c r="D6" s="20">
        <f>(5.23-5.2)/H12</f>
        <v>1.1650485436893298E-2</v>
      </c>
      <c r="E6" s="20">
        <f>(5.199-5.15)/H12</f>
        <v>1.902912621359203E-2</v>
      </c>
      <c r="F6" s="20"/>
      <c r="G6" s="20"/>
      <c r="H6" s="21">
        <f>(5.149-4.1)/H12</f>
        <v>0.40737864077669905</v>
      </c>
      <c r="I6" s="2">
        <f>((5.299-5.25)/N12)</f>
        <v>3.8582677165354642E-2</v>
      </c>
      <c r="J6" s="2">
        <f>((5.25-J12)/N12)+((5.749-5.7)/N12)+((5.924-5.85)/N12)</f>
        <v>0.11259842519685027</v>
      </c>
      <c r="K6" s="2"/>
      <c r="L6" s="2"/>
      <c r="M6" s="2"/>
      <c r="N6" s="10">
        <f>((5.599-5.3)/N12)+((5.799-5.75)/N12)+((L12-5.925)/N12)</f>
        <v>0.72677165354330808</v>
      </c>
      <c r="O6" s="1">
        <f>(R12-6.775)/T12</f>
        <v>8.3333333333331608E-2</v>
      </c>
      <c r="P6" s="2"/>
      <c r="Q6" s="2"/>
      <c r="R6" s="2"/>
      <c r="S6" s="2"/>
      <c r="T6" s="10">
        <f>(6.774-P12)/T12</f>
        <v>0.913333333333334</v>
      </c>
    </row>
    <row r="7" spans="1:40">
      <c r="B7" s="11" t="s">
        <v>1</v>
      </c>
      <c r="C7" s="22">
        <f>((2.924-D12)/H12)+((5.074-2.925)/H12)</f>
        <v>0.93902912621359214</v>
      </c>
      <c r="D7" s="2"/>
      <c r="E7" s="2"/>
      <c r="F7" s="2"/>
      <c r="G7" s="2">
        <f>(F12-5.075)/H12</f>
        <v>6.0194174757281636E-2</v>
      </c>
      <c r="H7" s="10"/>
      <c r="I7" s="2">
        <f>((5.624-5.325)/N12)+((6.499-5.95)/N12)</f>
        <v>0.6677165354330703</v>
      </c>
      <c r="J7" s="2"/>
      <c r="K7" s="2"/>
      <c r="L7" s="2">
        <f>(5.324-5.275)/N12</f>
        <v>3.8582677165353942E-2</v>
      </c>
      <c r="M7" s="2">
        <f>(5.274-J12)/N12</f>
        <v>3.4645669291338277E-2</v>
      </c>
      <c r="N7" s="10">
        <f>((5.949-5.625)/N12)</f>
        <v>0.25511811023622044</v>
      </c>
      <c r="O7" s="2">
        <f>(6.7-6.65)/T12</f>
        <v>0.16666666666666619</v>
      </c>
      <c r="P7" s="2"/>
      <c r="Q7" s="2">
        <f>(R12-6.7)/T12</f>
        <v>0.33333333333333237</v>
      </c>
      <c r="R7" s="2"/>
      <c r="S7" s="2"/>
      <c r="T7" s="10">
        <f>((6.65-6.5)/T12)</f>
        <v>0.50000000000000144</v>
      </c>
    </row>
    <row r="8" spans="1:40">
      <c r="B8" s="11" t="s">
        <v>2</v>
      </c>
      <c r="C8" s="22">
        <f>((4.899-2.775)/H12)</f>
        <v>0.82485436893203867</v>
      </c>
      <c r="D8" s="2"/>
      <c r="E8" s="2">
        <f>(5.174-5.125)/H12</f>
        <v>1.9029126213592373E-2</v>
      </c>
      <c r="F8" s="2">
        <f>(2.774-D12)/H12</f>
        <v>4.6213592233009783E-2</v>
      </c>
      <c r="G8" s="2"/>
      <c r="H8" s="10">
        <f>((5.124-4.9)/H12)+((F12-5.175)/H12)</f>
        <v>0.10834951456310674</v>
      </c>
      <c r="I8" s="2">
        <f>(L12-5.425)/N12</f>
        <v>0.84645669291338621</v>
      </c>
      <c r="J8" s="2"/>
      <c r="K8" s="2"/>
      <c r="L8" s="2">
        <f>(5.424-5.375)/N12</f>
        <v>3.8582677165354642E-2</v>
      </c>
      <c r="M8" s="2"/>
      <c r="N8" s="10">
        <f>(5.374-J12)/N12</f>
        <v>0.11338582677165299</v>
      </c>
      <c r="O8" s="2">
        <v>1</v>
      </c>
      <c r="P8" s="2"/>
      <c r="Q8" s="2"/>
      <c r="R8" s="2"/>
      <c r="S8" s="2"/>
      <c r="T8" s="10"/>
    </row>
    <row r="9" spans="1:40">
      <c r="B9" s="11" t="s">
        <v>3</v>
      </c>
      <c r="C9" s="22">
        <f>((2.949-D12)/H12)+((5.149-3.475)/H12)</f>
        <v>0.76427184466019393</v>
      </c>
      <c r="D9" s="2"/>
      <c r="E9" s="2">
        <f>(3.424-3.375)/H12</f>
        <v>1.9029126213592203E-2</v>
      </c>
      <c r="F9" s="2">
        <f>((3.174-3.075)/H12)</f>
        <v>3.8446601941747469E-2</v>
      </c>
      <c r="G9" s="2">
        <f>((3.374-3.175)/H12)+((F12-5.15)/H12)</f>
        <v>0.1083495145631069</v>
      </c>
      <c r="H9" s="10">
        <f>((3.074-2.95)/H12)+((3.474-3.425)/H12)</f>
        <v>6.7184466019417466E-2</v>
      </c>
      <c r="I9" s="1">
        <f>((5.749-5.65)/N12)</f>
        <v>7.795275590551129E-2</v>
      </c>
      <c r="K9" s="2">
        <f>((5.499-5.45)/N12)</f>
        <v>3.8582677165353942E-2</v>
      </c>
      <c r="M9" s="2">
        <f>((5.449-J12)/N12)+((5.649-5.5)/N12)+((6.024-5.75)/N12)</f>
        <v>0.50551181102362186</v>
      </c>
      <c r="N9" s="10">
        <f>(L12-6.025)/N12</f>
        <v>0.3740157480314959</v>
      </c>
      <c r="O9" s="2">
        <f>(6.8-6.65)/T12</f>
        <v>0.4999999999999985</v>
      </c>
      <c r="P9" s="2"/>
      <c r="Q9" s="2"/>
      <c r="R9" s="2"/>
      <c r="S9" s="2"/>
      <c r="T9" s="10">
        <f>(6.65-6.5)/T12</f>
        <v>0.50000000000000144</v>
      </c>
    </row>
    <row r="10" spans="1:40">
      <c r="B10" s="11" t="s">
        <v>4</v>
      </c>
      <c r="C10" s="22">
        <v>1</v>
      </c>
      <c r="D10" s="2"/>
      <c r="E10" s="2"/>
      <c r="F10" s="2"/>
      <c r="G10" s="2"/>
      <c r="H10" s="10"/>
      <c r="I10" s="2">
        <f>((5.524-J12)/N12)+((L12-5.95)/N12)</f>
        <v>0.66456692913385806</v>
      </c>
      <c r="J10" s="2">
        <f>((5.724-5.675)/N12)+((5.949-5.825)/N12)</f>
        <v>0.13622047244094498</v>
      </c>
      <c r="K10" s="2"/>
      <c r="L10" s="2">
        <f>(5.674-5.6)/N12</f>
        <v>5.8267716535433667E-2</v>
      </c>
      <c r="M10" s="2"/>
      <c r="N10" s="10">
        <f>((5.599-5.525)/N12)+((5.824-5.725)/N12)</f>
        <v>0.13622047244094496</v>
      </c>
      <c r="O10" s="2">
        <v>1</v>
      </c>
      <c r="P10" s="2"/>
      <c r="Q10" s="2"/>
      <c r="R10" s="2"/>
      <c r="S10" s="2"/>
      <c r="T10" s="10"/>
    </row>
    <row r="11" spans="1:40" ht="15.75" thickBot="1">
      <c r="B11" s="12" t="s">
        <v>5</v>
      </c>
      <c r="C11" s="23">
        <f>(F12-3.2)/H12</f>
        <v>0.78834951456310676</v>
      </c>
      <c r="D11" s="13"/>
      <c r="E11" s="13"/>
      <c r="F11" s="13"/>
      <c r="G11" s="13"/>
      <c r="H11" s="14">
        <f>(3.2-D12)/H12</f>
        <v>0.2116504854368933</v>
      </c>
      <c r="I11" s="13">
        <v>1</v>
      </c>
      <c r="J11" s="13"/>
      <c r="K11" s="13"/>
      <c r="L11" s="13"/>
      <c r="M11" s="13"/>
      <c r="N11" s="14"/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22</v>
      </c>
      <c r="C12" s="32" t="s">
        <v>23</v>
      </c>
      <c r="D12" s="33">
        <v>2.6549999999999998</v>
      </c>
      <c r="E12" s="34" t="s">
        <v>24</v>
      </c>
      <c r="F12" s="33">
        <v>5.23</v>
      </c>
      <c r="G12" s="30" t="s">
        <v>21</v>
      </c>
      <c r="H12" s="33">
        <f>F12-D12</f>
        <v>2.5750000000000006</v>
      </c>
      <c r="I12" s="33" t="s">
        <v>23</v>
      </c>
      <c r="J12" s="33">
        <f>F12</f>
        <v>5.23</v>
      </c>
      <c r="K12" s="33" t="s">
        <v>24</v>
      </c>
      <c r="L12" s="33">
        <v>6.5</v>
      </c>
      <c r="M12" s="33" t="s">
        <v>21</v>
      </c>
      <c r="N12" s="33">
        <f>L12-J12</f>
        <v>1.2699999999999996</v>
      </c>
      <c r="O12" s="33" t="s">
        <v>23</v>
      </c>
      <c r="P12" s="33">
        <f>L12</f>
        <v>6.5</v>
      </c>
      <c r="Q12" s="33" t="s">
        <v>24</v>
      </c>
      <c r="R12" s="33">
        <v>6.8</v>
      </c>
      <c r="S12" s="33" t="s">
        <v>21</v>
      </c>
      <c r="T12" s="18">
        <f>R12-P12</f>
        <v>0.29999999999999982</v>
      </c>
    </row>
    <row r="14" spans="1:40" ht="15.75" thickBot="1">
      <c r="B14" s="41" t="s">
        <v>31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20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28</v>
      </c>
      <c r="W15" s="85" t="s">
        <v>20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>
        <v>1</v>
      </c>
      <c r="D18" s="20">
        <v>1</v>
      </c>
      <c r="E18" s="20"/>
      <c r="F18" s="20"/>
      <c r="G18" s="20"/>
      <c r="H18" s="21"/>
      <c r="I18" s="1">
        <v>1</v>
      </c>
      <c r="J18" s="2">
        <v>1</v>
      </c>
      <c r="K18" s="2"/>
      <c r="L18" s="2"/>
      <c r="M18" s="2"/>
      <c r="N18" s="10"/>
      <c r="O18" s="2">
        <v>1</v>
      </c>
      <c r="P18" s="2"/>
      <c r="Q18" s="2"/>
      <c r="R18" s="2"/>
      <c r="S18" s="2"/>
      <c r="T18" s="10">
        <v>1</v>
      </c>
      <c r="V18" s="11" t="s">
        <v>7</v>
      </c>
      <c r="W18" s="19">
        <v>1</v>
      </c>
      <c r="X18" s="20"/>
      <c r="Y18" s="20"/>
      <c r="Z18" s="20">
        <v>1</v>
      </c>
      <c r="AA18" s="20"/>
      <c r="AB18" s="21"/>
      <c r="AC18" s="2">
        <v>1</v>
      </c>
      <c r="AD18" s="2"/>
      <c r="AE18" s="2"/>
      <c r="AF18" s="2"/>
      <c r="AG18" s="2">
        <v>1</v>
      </c>
      <c r="AH18" s="10"/>
      <c r="AI18" s="2">
        <v>1</v>
      </c>
      <c r="AJ18" s="2"/>
      <c r="AK18" s="2"/>
      <c r="AL18" s="2"/>
      <c r="AM18" s="2"/>
      <c r="AN18" s="10">
        <v>1</v>
      </c>
    </row>
    <row r="19" spans="2:40">
      <c r="B19" s="11" t="s">
        <v>8</v>
      </c>
      <c r="C19" s="22"/>
      <c r="D19" s="2">
        <v>1</v>
      </c>
      <c r="E19" s="2">
        <v>1</v>
      </c>
      <c r="F19" s="2"/>
      <c r="G19" s="2"/>
      <c r="H19" s="10"/>
      <c r="I19" s="2"/>
      <c r="J19" s="2">
        <v>1</v>
      </c>
      <c r="K19" s="2"/>
      <c r="L19" s="2">
        <v>2</v>
      </c>
      <c r="M19" s="2"/>
      <c r="N19" s="10"/>
      <c r="O19" s="2"/>
      <c r="P19" s="2">
        <v>1</v>
      </c>
      <c r="Q19" s="2"/>
      <c r="R19" s="2"/>
      <c r="S19" s="2"/>
      <c r="T19" s="10"/>
      <c r="V19" s="11" t="s">
        <v>8</v>
      </c>
      <c r="W19" s="22"/>
      <c r="X19" s="2">
        <v>1</v>
      </c>
      <c r="Y19" s="2"/>
      <c r="Z19" s="2"/>
      <c r="AA19" s="2"/>
      <c r="AB19" s="10"/>
      <c r="AC19" s="2"/>
      <c r="AD19" s="2">
        <v>1</v>
      </c>
      <c r="AE19" s="2"/>
      <c r="AF19" s="2"/>
      <c r="AG19" s="2"/>
      <c r="AH19" s="10"/>
      <c r="AI19" s="2"/>
      <c r="AJ19" s="2">
        <v>1</v>
      </c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>
        <v>1</v>
      </c>
      <c r="F20" s="2"/>
      <c r="G20" s="2"/>
      <c r="H20" s="10">
        <v>1</v>
      </c>
      <c r="I20" s="2"/>
      <c r="J20" s="2"/>
      <c r="K20" s="2">
        <v>1</v>
      </c>
      <c r="L20" s="2"/>
      <c r="M20" s="2"/>
      <c r="N20" s="10"/>
      <c r="O20" s="2"/>
      <c r="P20" s="2"/>
      <c r="Q20" s="2">
        <v>1</v>
      </c>
      <c r="R20" s="2"/>
      <c r="S20" s="2"/>
      <c r="T20" s="10"/>
      <c r="V20" s="11" t="s">
        <v>9</v>
      </c>
      <c r="W20" s="22"/>
      <c r="X20" s="2"/>
      <c r="Y20" s="2">
        <v>1</v>
      </c>
      <c r="Z20" s="2"/>
      <c r="AA20" s="2">
        <v>1</v>
      </c>
      <c r="AB20" s="10"/>
      <c r="AC20" s="2"/>
      <c r="AD20" s="2"/>
      <c r="AE20" s="2">
        <v>1</v>
      </c>
      <c r="AF20" s="2"/>
      <c r="AG20" s="2">
        <v>1</v>
      </c>
      <c r="AH20" s="10"/>
      <c r="AI20" s="2"/>
      <c r="AJ20" s="2"/>
      <c r="AK20" s="2">
        <v>1</v>
      </c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>
        <v>1</v>
      </c>
      <c r="G21" s="2"/>
      <c r="H21" s="10"/>
      <c r="I21" s="2"/>
      <c r="J21" s="2"/>
      <c r="K21" s="2"/>
      <c r="L21" s="2">
        <v>1</v>
      </c>
      <c r="M21" s="2"/>
      <c r="N21" s="10">
        <v>2</v>
      </c>
      <c r="O21" s="2"/>
      <c r="P21" s="2"/>
      <c r="Q21" s="2"/>
      <c r="R21" s="2">
        <v>1</v>
      </c>
      <c r="S21" s="2"/>
      <c r="T21" s="10"/>
      <c r="V21" s="11" t="s">
        <v>10</v>
      </c>
      <c r="W21" s="22"/>
      <c r="X21" s="2"/>
      <c r="Y21" s="2">
        <v>1</v>
      </c>
      <c r="Z21" s="2">
        <v>1</v>
      </c>
      <c r="AA21" s="2"/>
      <c r="AB21" s="10">
        <v>1</v>
      </c>
      <c r="AC21" s="2"/>
      <c r="AD21" s="2"/>
      <c r="AE21" s="2"/>
      <c r="AF21" s="2">
        <v>1</v>
      </c>
      <c r="AG21" s="2"/>
      <c r="AH21" s="10"/>
      <c r="AI21" s="2"/>
      <c r="AJ21" s="2"/>
      <c r="AK21" s="2"/>
      <c r="AL21" s="2">
        <v>1</v>
      </c>
      <c r="AM21" s="2"/>
      <c r="AN21" s="10"/>
    </row>
    <row r="22" spans="2:40">
      <c r="B22" s="11" t="s">
        <v>11</v>
      </c>
      <c r="C22" s="22"/>
      <c r="E22" s="2"/>
      <c r="F22" s="2"/>
      <c r="G22" s="2">
        <v>1</v>
      </c>
      <c r="H22" s="10"/>
      <c r="I22" s="2"/>
      <c r="K22" s="2"/>
      <c r="L22" s="2"/>
      <c r="M22" s="2">
        <v>1</v>
      </c>
      <c r="N22" s="10"/>
      <c r="O22" s="2"/>
      <c r="Q22" s="2"/>
      <c r="R22" s="2"/>
      <c r="S22" s="2">
        <v>1</v>
      </c>
      <c r="T22" s="10"/>
      <c r="V22" s="11" t="s">
        <v>11</v>
      </c>
      <c r="W22" s="1">
        <v>1</v>
      </c>
      <c r="X22" s="2"/>
      <c r="Z22" s="2">
        <v>1</v>
      </c>
      <c r="AA22" s="2">
        <v>1</v>
      </c>
      <c r="AB22" s="10"/>
      <c r="AC22" s="2">
        <v>1</v>
      </c>
      <c r="AD22" s="2"/>
      <c r="AE22" s="2">
        <v>1</v>
      </c>
      <c r="AF22" s="2"/>
      <c r="AG22" s="2">
        <v>1</v>
      </c>
      <c r="AH22" s="10"/>
      <c r="AI22" s="2"/>
      <c r="AJ22" s="2"/>
      <c r="AK22" s="2"/>
      <c r="AL22" s="2"/>
      <c r="AM22" s="2">
        <v>1</v>
      </c>
      <c r="AN22" s="10"/>
    </row>
    <row r="23" spans="2:40" ht="15.75" thickBot="1">
      <c r="B23" s="12" t="s">
        <v>12</v>
      </c>
      <c r="C23" s="23">
        <v>1</v>
      </c>
      <c r="D23" s="2"/>
      <c r="E23" s="13"/>
      <c r="F23" s="13"/>
      <c r="G23" s="13"/>
      <c r="H23" s="14">
        <v>1</v>
      </c>
      <c r="I23" s="13">
        <v>1</v>
      </c>
      <c r="J23" s="2">
        <v>2</v>
      </c>
      <c r="K23" s="13"/>
      <c r="L23" s="13"/>
      <c r="M23" s="13"/>
      <c r="N23" s="14">
        <v>1</v>
      </c>
      <c r="O23" s="13"/>
      <c r="P23" s="2"/>
      <c r="Q23" s="13"/>
      <c r="R23" s="13"/>
      <c r="S23" s="13"/>
      <c r="T23" s="14">
        <v>1</v>
      </c>
      <c r="V23" s="12" t="s">
        <v>12</v>
      </c>
      <c r="W23" s="22">
        <v>1</v>
      </c>
      <c r="X23" s="13"/>
      <c r="Y23" s="2"/>
      <c r="Z23" s="13"/>
      <c r="AA23" s="13"/>
      <c r="AB23" s="14">
        <v>1</v>
      </c>
      <c r="AC23" s="13"/>
      <c r="AD23" s="13"/>
      <c r="AE23" s="13"/>
      <c r="AF23" s="13"/>
      <c r="AG23" s="13">
        <v>1</v>
      </c>
      <c r="AH23" s="14">
        <v>1</v>
      </c>
      <c r="AI23" s="13"/>
      <c r="AJ23" s="13"/>
      <c r="AK23" s="13"/>
      <c r="AL23" s="13"/>
      <c r="AM23" s="13"/>
      <c r="AN23" s="14">
        <v>1</v>
      </c>
    </row>
    <row r="24" spans="2:40" ht="15.75" thickBot="1">
      <c r="B24" s="35" t="s">
        <v>26</v>
      </c>
      <c r="C24" s="32">
        <f>SUM(C18:H23)</f>
        <v>10</v>
      </c>
      <c r="D24" s="16"/>
      <c r="E24" s="17"/>
      <c r="F24" s="17"/>
      <c r="G24" s="17"/>
      <c r="H24" s="18"/>
      <c r="I24" s="32">
        <f>SUM(I18:N23)</f>
        <v>14</v>
      </c>
      <c r="J24" s="17"/>
      <c r="K24" s="17"/>
      <c r="L24" s="17"/>
      <c r="M24" s="17"/>
      <c r="N24" s="18"/>
      <c r="O24" s="32">
        <f>SUM(O18:T23)</f>
        <v>7</v>
      </c>
      <c r="P24" s="17"/>
      <c r="Q24" s="17"/>
      <c r="R24" s="17"/>
      <c r="S24" s="17"/>
      <c r="T24" s="18"/>
      <c r="V24" s="35" t="s">
        <v>26</v>
      </c>
      <c r="W24" s="32">
        <f>SUM(W18:AB23)</f>
        <v>13</v>
      </c>
      <c r="X24" s="16"/>
      <c r="Y24" s="17"/>
      <c r="Z24" s="17"/>
      <c r="AA24" s="17"/>
      <c r="AB24" s="18"/>
      <c r="AC24" s="32">
        <f>SUM(AC18:AH23)</f>
        <v>11</v>
      </c>
      <c r="AD24" s="17"/>
      <c r="AE24" s="17"/>
      <c r="AF24" s="17"/>
      <c r="AG24" s="17"/>
      <c r="AH24" s="18"/>
      <c r="AI24" s="32">
        <f>SUM(AI18:AN23)</f>
        <v>7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25</v>
      </c>
      <c r="C26" s="85" t="s">
        <v>20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30</v>
      </c>
      <c r="W26" s="85" t="s">
        <v>20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/>
      <c r="H29" s="21"/>
      <c r="I29" s="2">
        <v>1</v>
      </c>
      <c r="J29" s="2"/>
      <c r="K29" s="2"/>
      <c r="L29" s="2">
        <v>1</v>
      </c>
      <c r="M29" s="2"/>
      <c r="N29" s="10">
        <v>1</v>
      </c>
      <c r="O29" s="2">
        <v>1</v>
      </c>
      <c r="P29" s="2"/>
      <c r="Q29" s="2"/>
      <c r="R29" s="2"/>
      <c r="S29" s="2"/>
      <c r="T29" s="10">
        <v>1</v>
      </c>
      <c r="V29" s="11" t="s">
        <v>7</v>
      </c>
      <c r="W29" s="19">
        <v>1</v>
      </c>
      <c r="X29" s="20"/>
      <c r="Y29" s="20"/>
      <c r="Z29" s="20"/>
      <c r="AA29" s="20"/>
      <c r="AB29" s="21"/>
      <c r="AC29" s="2">
        <v>1</v>
      </c>
      <c r="AD29" s="2">
        <v>1</v>
      </c>
      <c r="AE29" s="2"/>
      <c r="AF29" s="2"/>
      <c r="AG29" s="2"/>
      <c r="AH29" s="10"/>
      <c r="AI29" s="2">
        <v>1</v>
      </c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>
        <v>1</v>
      </c>
      <c r="E30" s="2"/>
      <c r="F30" s="2"/>
      <c r="G30" s="2"/>
      <c r="H30" s="10"/>
      <c r="I30" s="2"/>
      <c r="J30" s="2">
        <v>1</v>
      </c>
      <c r="K30" s="2"/>
      <c r="L30" s="2"/>
      <c r="M30" s="2"/>
      <c r="N30" s="10"/>
      <c r="O30" s="2"/>
      <c r="P30" s="2">
        <v>1</v>
      </c>
      <c r="Q30" s="2"/>
      <c r="R30" s="2"/>
      <c r="S30" s="2"/>
      <c r="T30" s="10"/>
      <c r="V30" s="11" t="s">
        <v>8</v>
      </c>
      <c r="W30" s="22"/>
      <c r="X30" s="2">
        <v>1</v>
      </c>
      <c r="Y30" s="2"/>
      <c r="Z30" s="2"/>
      <c r="AA30" s="2"/>
      <c r="AB30" s="10"/>
      <c r="AC30" s="2"/>
      <c r="AD30" s="2">
        <v>1</v>
      </c>
      <c r="AE30" s="2"/>
      <c r="AF30" s="2">
        <v>1</v>
      </c>
      <c r="AG30" s="2"/>
      <c r="AH30" s="10">
        <v>1</v>
      </c>
      <c r="AI30" s="2"/>
      <c r="AJ30" s="2">
        <v>1</v>
      </c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>
        <v>1</v>
      </c>
      <c r="F31" s="2"/>
      <c r="G31" s="2"/>
      <c r="H31" s="10"/>
      <c r="I31" s="2"/>
      <c r="J31" s="2"/>
      <c r="K31" s="2">
        <v>1</v>
      </c>
      <c r="L31" s="2"/>
      <c r="M31" s="2"/>
      <c r="N31" s="10"/>
      <c r="O31" s="2">
        <v>1</v>
      </c>
      <c r="P31" s="2"/>
      <c r="Q31" s="2">
        <v>1</v>
      </c>
      <c r="R31" s="2"/>
      <c r="S31" s="2"/>
      <c r="T31" s="10"/>
      <c r="V31" s="11" t="s">
        <v>9</v>
      </c>
      <c r="W31" s="22"/>
      <c r="X31" s="2"/>
      <c r="Y31" s="2">
        <v>1</v>
      </c>
      <c r="Z31" s="2"/>
      <c r="AA31" s="2"/>
      <c r="AB31" s="10"/>
      <c r="AC31" s="2"/>
      <c r="AD31" s="2"/>
      <c r="AE31" s="2">
        <v>1</v>
      </c>
      <c r="AF31" s="2"/>
      <c r="AG31" s="2"/>
      <c r="AH31" s="10"/>
      <c r="AI31" s="2"/>
      <c r="AJ31" s="2"/>
      <c r="AK31" s="2">
        <v>1</v>
      </c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>
        <v>1</v>
      </c>
      <c r="G32" s="2"/>
      <c r="H32" s="10"/>
      <c r="I32" s="2"/>
      <c r="J32" s="2"/>
      <c r="K32" s="2"/>
      <c r="L32" s="2">
        <v>1</v>
      </c>
      <c r="M32" s="2">
        <v>1</v>
      </c>
      <c r="N32" s="10"/>
      <c r="O32" s="2"/>
      <c r="P32" s="2"/>
      <c r="Q32" s="2"/>
      <c r="R32" s="2">
        <v>1</v>
      </c>
      <c r="S32" s="2"/>
      <c r="T32" s="10"/>
      <c r="V32" s="11" t="s">
        <v>10</v>
      </c>
      <c r="W32" s="22"/>
      <c r="X32" s="2"/>
      <c r="Y32" s="2"/>
      <c r="Z32" s="2">
        <v>1</v>
      </c>
      <c r="AA32" s="2"/>
      <c r="AB32" s="10"/>
      <c r="AC32" s="2"/>
      <c r="AD32" s="2"/>
      <c r="AE32" s="2"/>
      <c r="AF32" s="2">
        <v>1</v>
      </c>
      <c r="AG32" s="2"/>
      <c r="AH32" s="10">
        <v>1</v>
      </c>
      <c r="AI32" s="2"/>
      <c r="AJ32" s="2"/>
      <c r="AK32" s="2"/>
      <c r="AL32" s="2">
        <v>1</v>
      </c>
      <c r="AM32" s="2"/>
      <c r="AN32" s="10"/>
    </row>
    <row r="33" spans="2:40">
      <c r="B33" s="11" t="s">
        <v>11</v>
      </c>
      <c r="C33" s="22">
        <v>1</v>
      </c>
      <c r="D33" s="2"/>
      <c r="E33" s="2"/>
      <c r="F33" s="2"/>
      <c r="G33" s="2">
        <v>1</v>
      </c>
      <c r="H33" s="10"/>
      <c r="I33" s="2"/>
      <c r="J33" s="2"/>
      <c r="K33" s="2"/>
      <c r="M33" s="2">
        <v>1</v>
      </c>
      <c r="N33" s="10"/>
      <c r="O33" s="2"/>
      <c r="P33" s="2"/>
      <c r="Q33" s="2"/>
      <c r="R33" s="2"/>
      <c r="S33" s="2">
        <v>1</v>
      </c>
      <c r="T33" s="10"/>
      <c r="V33" s="11" t="s">
        <v>11</v>
      </c>
      <c r="Z33" s="2"/>
      <c r="AA33" s="2">
        <v>1</v>
      </c>
      <c r="AB33" s="10"/>
      <c r="AC33" s="2"/>
      <c r="AE33" s="2"/>
      <c r="AF33" s="2"/>
      <c r="AG33" s="2">
        <v>1</v>
      </c>
      <c r="AH33" s="10"/>
      <c r="AI33" s="2"/>
      <c r="AJ33" s="2"/>
      <c r="AK33" s="2"/>
      <c r="AL33" s="2"/>
      <c r="AM33" s="2">
        <v>1</v>
      </c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>
        <v>1</v>
      </c>
      <c r="I34" s="13">
        <v>1</v>
      </c>
      <c r="J34" s="13"/>
      <c r="K34" s="13"/>
      <c r="L34" s="2"/>
      <c r="M34" s="13"/>
      <c r="N34" s="14">
        <v>1</v>
      </c>
      <c r="O34" s="13"/>
      <c r="P34" s="13"/>
      <c r="Q34" s="13"/>
      <c r="R34" s="13"/>
      <c r="S34" s="13"/>
      <c r="T34" s="14">
        <v>1</v>
      </c>
      <c r="V34" s="12" t="s">
        <v>12</v>
      </c>
      <c r="W34" s="22"/>
      <c r="X34" s="2"/>
      <c r="Y34" s="2"/>
      <c r="Z34" s="13"/>
      <c r="AA34" s="13"/>
      <c r="AB34" s="14">
        <v>1</v>
      </c>
      <c r="AC34" s="13">
        <v>1</v>
      </c>
      <c r="AD34" s="2">
        <v>1</v>
      </c>
      <c r="AE34" s="13"/>
      <c r="AF34" s="13"/>
      <c r="AG34" s="13"/>
      <c r="AH34" s="14">
        <v>1</v>
      </c>
      <c r="AI34" s="13"/>
      <c r="AJ34" s="13"/>
      <c r="AK34" s="13"/>
      <c r="AL34" s="13"/>
      <c r="AM34" s="13"/>
      <c r="AN34" s="14">
        <v>1</v>
      </c>
    </row>
    <row r="35" spans="2:40" ht="15.75" thickBot="1">
      <c r="B35" s="36" t="s">
        <v>26</v>
      </c>
      <c r="C35" s="32">
        <f>SUM(C29:H34)</f>
        <v>7</v>
      </c>
      <c r="D35" s="16"/>
      <c r="E35" s="17"/>
      <c r="F35" s="17"/>
      <c r="G35" s="17"/>
      <c r="H35" s="18"/>
      <c r="I35" s="32">
        <f>SUM(I29:N34)</f>
        <v>10</v>
      </c>
      <c r="J35" s="17"/>
      <c r="K35" s="17"/>
      <c r="L35" s="17"/>
      <c r="M35" s="17"/>
      <c r="N35" s="18"/>
      <c r="O35" s="32">
        <f>SUM(O29:T34)</f>
        <v>8</v>
      </c>
      <c r="P35" s="17"/>
      <c r="Q35" s="17"/>
      <c r="R35" s="17"/>
      <c r="S35" s="17"/>
      <c r="T35" s="18"/>
      <c r="V35" s="35" t="s">
        <v>26</v>
      </c>
      <c r="W35" s="32">
        <f>SUM(W29:AB34)</f>
        <v>6</v>
      </c>
      <c r="X35" s="16"/>
      <c r="Y35" s="17"/>
      <c r="Z35" s="17"/>
      <c r="AA35" s="17"/>
      <c r="AB35" s="18"/>
      <c r="AC35" s="32">
        <f>SUM(AC29:AH34)</f>
        <v>12</v>
      </c>
      <c r="AD35" s="17"/>
      <c r="AE35" s="17"/>
      <c r="AF35" s="17"/>
      <c r="AG35" s="17"/>
      <c r="AH35" s="18"/>
      <c r="AI35" s="32">
        <f>SUM(AI29:AN34)</f>
        <v>6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27</v>
      </c>
      <c r="C38" s="85" t="s">
        <v>20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29</v>
      </c>
      <c r="W38" s="85" t="s">
        <v>20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>
        <v>1</v>
      </c>
      <c r="G41" s="20"/>
      <c r="H41" s="21"/>
      <c r="I41" s="2">
        <v>1</v>
      </c>
      <c r="J41" s="2"/>
      <c r="K41" s="2"/>
      <c r="L41" s="2">
        <v>1</v>
      </c>
      <c r="M41" s="2"/>
      <c r="N41" s="10"/>
      <c r="O41" s="2">
        <v>1</v>
      </c>
      <c r="P41" s="2"/>
      <c r="Q41" s="2"/>
      <c r="R41" s="2"/>
      <c r="S41" s="2"/>
      <c r="T41" s="10"/>
      <c r="V41" s="11" t="s">
        <v>7</v>
      </c>
      <c r="W41" s="19">
        <v>1</v>
      </c>
      <c r="X41" s="20"/>
      <c r="Y41" s="20"/>
      <c r="Z41" s="20"/>
      <c r="AA41" s="20"/>
      <c r="AB41" s="21">
        <v>1</v>
      </c>
      <c r="AC41" s="2">
        <v>1</v>
      </c>
      <c r="AD41" s="2"/>
      <c r="AE41" s="2"/>
      <c r="AF41" s="2"/>
      <c r="AG41" s="2"/>
      <c r="AH41" s="10"/>
      <c r="AI41" s="2">
        <v>1</v>
      </c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>
        <v>1</v>
      </c>
      <c r="E42" s="2"/>
      <c r="F42" s="2"/>
      <c r="G42" s="2"/>
      <c r="H42" s="10"/>
      <c r="I42" s="2"/>
      <c r="J42" s="2">
        <v>1</v>
      </c>
      <c r="K42" s="2"/>
      <c r="L42" s="2"/>
      <c r="M42" s="2"/>
      <c r="N42" s="10"/>
      <c r="O42" s="2"/>
      <c r="P42" s="2">
        <v>1</v>
      </c>
      <c r="Q42" s="2"/>
      <c r="R42" s="2"/>
      <c r="S42" s="2"/>
      <c r="T42" s="10"/>
      <c r="V42" s="11" t="s">
        <v>8</v>
      </c>
      <c r="W42" s="22"/>
      <c r="X42" s="2">
        <v>1</v>
      </c>
      <c r="Y42" s="2"/>
      <c r="Z42" s="2"/>
      <c r="AA42" s="2"/>
      <c r="AB42" s="10"/>
      <c r="AC42" s="2"/>
      <c r="AD42" s="2">
        <v>1</v>
      </c>
      <c r="AE42" s="2"/>
      <c r="AF42" s="2"/>
      <c r="AG42" s="2"/>
      <c r="AH42" s="10"/>
      <c r="AI42" s="2"/>
      <c r="AJ42" s="2">
        <v>1</v>
      </c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>
        <v>1</v>
      </c>
      <c r="F43" s="2"/>
      <c r="G43" s="2"/>
      <c r="H43" s="10">
        <v>1</v>
      </c>
      <c r="I43" s="2"/>
      <c r="J43" s="2"/>
      <c r="K43" s="2">
        <v>1</v>
      </c>
      <c r="L43" s="2"/>
      <c r="M43" s="2"/>
      <c r="N43" s="10"/>
      <c r="O43" s="2"/>
      <c r="P43" s="2"/>
      <c r="Q43" s="2">
        <v>1</v>
      </c>
      <c r="R43" s="2"/>
      <c r="S43" s="2"/>
      <c r="T43" s="10"/>
      <c r="V43" s="11" t="s">
        <v>9</v>
      </c>
      <c r="W43" s="22"/>
      <c r="X43" s="2"/>
      <c r="Y43" s="2">
        <v>1</v>
      </c>
      <c r="Z43" s="2"/>
      <c r="AA43" s="2"/>
      <c r="AB43" s="10"/>
      <c r="AC43" s="2"/>
      <c r="AD43" s="2"/>
      <c r="AE43" s="2">
        <v>1</v>
      </c>
      <c r="AF43" s="2"/>
      <c r="AG43" s="2"/>
      <c r="AH43" s="10"/>
      <c r="AI43" s="2"/>
      <c r="AJ43" s="2"/>
      <c r="AK43" s="2">
        <v>1</v>
      </c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>
        <v>1</v>
      </c>
      <c r="G44" s="2"/>
      <c r="H44" s="10"/>
      <c r="I44" s="2"/>
      <c r="J44" s="2"/>
      <c r="K44" s="2"/>
      <c r="L44" s="2">
        <v>1</v>
      </c>
      <c r="M44" s="2"/>
      <c r="N44" s="10">
        <v>1</v>
      </c>
      <c r="O44" s="2"/>
      <c r="P44" s="2"/>
      <c r="Q44" s="2"/>
      <c r="R44" s="2">
        <v>1</v>
      </c>
      <c r="S44" s="2"/>
      <c r="T44" s="10"/>
      <c r="V44" s="11" t="s">
        <v>10</v>
      </c>
      <c r="W44" s="22"/>
      <c r="X44" s="2"/>
      <c r="Y44" s="2"/>
      <c r="Z44" s="2">
        <v>1</v>
      </c>
      <c r="AA44" s="2"/>
      <c r="AB44" s="10"/>
      <c r="AC44" s="2"/>
      <c r="AD44" s="2"/>
      <c r="AE44" s="2"/>
      <c r="AF44" s="2">
        <v>1</v>
      </c>
      <c r="AG44" s="2"/>
      <c r="AH44" s="10"/>
      <c r="AI44" s="2"/>
      <c r="AJ44" s="2"/>
      <c r="AK44" s="2"/>
      <c r="AL44" s="2">
        <v>1</v>
      </c>
      <c r="AM44" s="2"/>
      <c r="AN44" s="10"/>
    </row>
    <row r="45" spans="2:40">
      <c r="B45" s="11" t="s">
        <v>11</v>
      </c>
      <c r="C45" s="22"/>
      <c r="D45" s="2"/>
      <c r="E45" s="2"/>
      <c r="F45" s="2"/>
      <c r="G45" s="2">
        <v>1</v>
      </c>
      <c r="H45" s="10"/>
      <c r="I45" s="2"/>
      <c r="J45" s="2"/>
      <c r="K45" s="2"/>
      <c r="L45" s="2"/>
      <c r="M45" s="2">
        <v>1</v>
      </c>
      <c r="N45" s="10"/>
      <c r="O45" s="2"/>
      <c r="P45" s="2"/>
      <c r="Q45" s="2"/>
      <c r="S45" s="2">
        <v>1</v>
      </c>
      <c r="T45" s="10"/>
      <c r="V45" s="11" t="s">
        <v>11</v>
      </c>
      <c r="W45" s="22"/>
      <c r="X45" s="2"/>
      <c r="Y45" s="2"/>
      <c r="Z45" s="2"/>
      <c r="AA45" s="2">
        <v>1</v>
      </c>
      <c r="AB45" s="10"/>
      <c r="AC45" s="2"/>
      <c r="AD45" s="2"/>
      <c r="AE45" s="2"/>
      <c r="AF45" s="2"/>
      <c r="AG45" s="2">
        <v>1</v>
      </c>
      <c r="AH45" s="10"/>
      <c r="AI45" s="2"/>
      <c r="AJ45" s="2"/>
      <c r="AK45" s="2"/>
      <c r="AL45" s="2"/>
      <c r="AM45" s="2">
        <v>1</v>
      </c>
      <c r="AN45" s="10"/>
    </row>
    <row r="46" spans="2:40" ht="15.75" thickBot="1">
      <c r="B46" s="12" t="s">
        <v>12</v>
      </c>
      <c r="C46" s="23">
        <v>1</v>
      </c>
      <c r="D46" s="13"/>
      <c r="E46" s="13">
        <v>1</v>
      </c>
      <c r="F46" s="13"/>
      <c r="G46" s="13"/>
      <c r="H46" s="14">
        <v>1</v>
      </c>
      <c r="I46" s="13"/>
      <c r="J46" s="13"/>
      <c r="K46" s="13"/>
      <c r="L46" s="13"/>
      <c r="M46" s="13"/>
      <c r="N46" s="14">
        <v>1</v>
      </c>
      <c r="O46" s="13"/>
      <c r="P46" s="13"/>
      <c r="Q46" s="13"/>
      <c r="R46" s="2"/>
      <c r="S46" s="13"/>
      <c r="T46" s="14">
        <v>1</v>
      </c>
      <c r="V46" s="12" t="s">
        <v>12</v>
      </c>
      <c r="W46" s="23"/>
      <c r="X46" s="13"/>
      <c r="Y46" s="13"/>
      <c r="Z46" s="13"/>
      <c r="AA46" s="13"/>
      <c r="AB46" s="14">
        <v>1</v>
      </c>
      <c r="AC46" s="13"/>
      <c r="AD46" s="13"/>
      <c r="AE46" s="13"/>
      <c r="AF46" s="13"/>
      <c r="AG46" s="13"/>
      <c r="AH46" s="14">
        <v>1</v>
      </c>
      <c r="AI46" s="13"/>
      <c r="AJ46" s="13"/>
      <c r="AK46" s="13"/>
      <c r="AL46" s="13"/>
      <c r="AM46" s="13"/>
      <c r="AN46" s="14">
        <v>1</v>
      </c>
    </row>
    <row r="47" spans="2:40" ht="15.75" thickBot="1">
      <c r="B47" s="36" t="s">
        <v>26</v>
      </c>
      <c r="C47" s="32">
        <f>SUM(C41:H46)</f>
        <v>10</v>
      </c>
      <c r="D47" s="16"/>
      <c r="E47" s="17"/>
      <c r="F47" s="17"/>
      <c r="G47" s="17"/>
      <c r="H47" s="18"/>
      <c r="I47" s="32">
        <f>SUM(I41:N46)</f>
        <v>8</v>
      </c>
      <c r="J47" s="17"/>
      <c r="K47" s="17"/>
      <c r="L47" s="17"/>
      <c r="M47" s="17"/>
      <c r="N47" s="18"/>
      <c r="O47" s="32">
        <f>SUM(O41:T46)</f>
        <v>6</v>
      </c>
      <c r="P47" s="17"/>
      <c r="Q47" s="17"/>
      <c r="R47" s="17"/>
      <c r="S47" s="17"/>
      <c r="T47" s="18"/>
      <c r="V47" s="35" t="s">
        <v>26</v>
      </c>
      <c r="W47" s="32">
        <f>SUM(W41:AB46)</f>
        <v>7</v>
      </c>
      <c r="X47" s="16"/>
      <c r="Y47" s="17"/>
      <c r="Z47" s="17"/>
      <c r="AA47" s="17"/>
      <c r="AB47" s="18"/>
      <c r="AC47" s="32">
        <f>SUM(AC41:AH46)</f>
        <v>6</v>
      </c>
      <c r="AD47" s="17"/>
      <c r="AE47" s="17"/>
      <c r="AF47" s="17"/>
      <c r="AG47" s="17"/>
      <c r="AH47" s="18"/>
      <c r="AI47" s="32">
        <f>SUM(AI41:AN46)</f>
        <v>6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42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40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40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40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1.4440000000000004</v>
      </c>
      <c r="D52" s="65">
        <f t="shared" ref="D52:H52" si="0">D6*$H$12</f>
        <v>3.0000000000000249E-2</v>
      </c>
      <c r="E52" s="65">
        <f t="shared" si="0"/>
        <v>4.8999999999999488E-2</v>
      </c>
      <c r="F52" s="65">
        <f t="shared" si="0"/>
        <v>0</v>
      </c>
      <c r="G52" s="65">
        <f t="shared" si="0"/>
        <v>0</v>
      </c>
      <c r="H52" s="65">
        <f t="shared" si="0"/>
        <v>1.0490000000000004</v>
      </c>
      <c r="I52" s="64">
        <f>I6*$N$12</f>
        <v>4.9000000000000377E-2</v>
      </c>
      <c r="J52" s="65">
        <f t="shared" ref="J52:N52" si="1">J6*$N$12</f>
        <v>0.14299999999999979</v>
      </c>
      <c r="K52" s="65">
        <f t="shared" si="1"/>
        <v>0</v>
      </c>
      <c r="L52" s="65">
        <f t="shared" si="1"/>
        <v>0</v>
      </c>
      <c r="M52" s="65">
        <f t="shared" si="1"/>
        <v>0</v>
      </c>
      <c r="N52" s="65">
        <f t="shared" si="1"/>
        <v>0.92300000000000093</v>
      </c>
      <c r="O52" s="64">
        <f>O6*$T$12</f>
        <v>2.4999999999999467E-2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0.27400000000000002</v>
      </c>
    </row>
    <row r="53" spans="2:20">
      <c r="B53" s="26" t="s">
        <v>1</v>
      </c>
      <c r="C53" s="67">
        <f t="shared" ref="C53:H57" si="3">C7*$H$12</f>
        <v>2.4180000000000001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0.15500000000000025</v>
      </c>
      <c r="H53" s="63">
        <f t="shared" si="3"/>
        <v>0</v>
      </c>
      <c r="I53" s="67">
        <f t="shared" ref="I53:N57" si="4">I7*$N$12</f>
        <v>0.84799999999999898</v>
      </c>
      <c r="J53" s="63">
        <f t="shared" si="4"/>
        <v>0</v>
      </c>
      <c r="K53" s="63">
        <f t="shared" si="4"/>
        <v>0</v>
      </c>
      <c r="L53" s="63">
        <f t="shared" si="4"/>
        <v>4.8999999999999488E-2</v>
      </c>
      <c r="M53" s="63">
        <f t="shared" si="4"/>
        <v>4.3999999999999595E-2</v>
      </c>
      <c r="N53" s="63">
        <f t="shared" si="4"/>
        <v>0.32399999999999984</v>
      </c>
      <c r="O53" s="67">
        <f t="shared" ref="O53:T57" si="5">O7*$T$12</f>
        <v>4.9999999999999829E-2</v>
      </c>
      <c r="P53" s="63">
        <f t="shared" si="5"/>
        <v>0</v>
      </c>
      <c r="Q53" s="63">
        <f t="shared" si="5"/>
        <v>9.9999999999999659E-2</v>
      </c>
      <c r="R53" s="63">
        <f t="shared" si="5"/>
        <v>0</v>
      </c>
      <c r="S53" s="63">
        <f t="shared" si="5"/>
        <v>0</v>
      </c>
      <c r="T53" s="68">
        <f t="shared" si="5"/>
        <v>0.15000000000000036</v>
      </c>
    </row>
    <row r="54" spans="2:20">
      <c r="B54" s="26" t="s">
        <v>2</v>
      </c>
      <c r="C54" s="67">
        <f t="shared" si="3"/>
        <v>2.1240000000000001</v>
      </c>
      <c r="D54" s="63">
        <f t="shared" si="3"/>
        <v>0</v>
      </c>
      <c r="E54" s="63">
        <f t="shared" si="3"/>
        <v>4.9000000000000377E-2</v>
      </c>
      <c r="F54" s="63">
        <f t="shared" si="3"/>
        <v>0.11900000000000022</v>
      </c>
      <c r="G54" s="63">
        <f t="shared" si="3"/>
        <v>0</v>
      </c>
      <c r="H54" s="63">
        <f t="shared" si="3"/>
        <v>0.27899999999999991</v>
      </c>
      <c r="I54" s="67">
        <f t="shared" si="4"/>
        <v>1.0750000000000002</v>
      </c>
      <c r="J54" s="63">
        <f t="shared" si="4"/>
        <v>0</v>
      </c>
      <c r="K54" s="63">
        <f t="shared" si="4"/>
        <v>0</v>
      </c>
      <c r="L54" s="63">
        <f t="shared" si="4"/>
        <v>4.9000000000000377E-2</v>
      </c>
      <c r="M54" s="63">
        <f t="shared" si="4"/>
        <v>0</v>
      </c>
      <c r="N54" s="63">
        <f t="shared" si="4"/>
        <v>0.14399999999999924</v>
      </c>
      <c r="O54" s="67">
        <f t="shared" si="5"/>
        <v>0.29999999999999982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</v>
      </c>
      <c r="T54" s="68">
        <f t="shared" si="5"/>
        <v>0</v>
      </c>
    </row>
    <row r="55" spans="2:20">
      <c r="B55" s="26" t="s">
        <v>3</v>
      </c>
      <c r="C55" s="67">
        <f t="shared" si="3"/>
        <v>1.9679999999999997</v>
      </c>
      <c r="D55" s="63">
        <f t="shared" si="3"/>
        <v>0</v>
      </c>
      <c r="E55" s="63">
        <f t="shared" si="3"/>
        <v>4.8999999999999932E-2</v>
      </c>
      <c r="F55" s="63">
        <f t="shared" si="3"/>
        <v>9.8999999999999755E-2</v>
      </c>
      <c r="G55" s="63">
        <f t="shared" si="3"/>
        <v>0.27900000000000036</v>
      </c>
      <c r="H55" s="63">
        <f t="shared" si="3"/>
        <v>0.17300000000000001</v>
      </c>
      <c r="I55" s="67">
        <f t="shared" si="4"/>
        <v>9.8999999999999311E-2</v>
      </c>
      <c r="J55" s="63">
        <f t="shared" si="4"/>
        <v>0</v>
      </c>
      <c r="K55" s="63">
        <f t="shared" si="4"/>
        <v>4.8999999999999488E-2</v>
      </c>
      <c r="L55" s="63">
        <f t="shared" si="4"/>
        <v>0</v>
      </c>
      <c r="M55" s="63">
        <f t="shared" si="4"/>
        <v>0.64199999999999957</v>
      </c>
      <c r="N55" s="63">
        <f t="shared" si="4"/>
        <v>0.47499999999999964</v>
      </c>
      <c r="O55" s="67">
        <f t="shared" si="5"/>
        <v>0.14999999999999947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0.15000000000000036</v>
      </c>
    </row>
    <row r="56" spans="2:20">
      <c r="B56" s="26" t="s">
        <v>4</v>
      </c>
      <c r="C56" s="67">
        <f t="shared" si="3"/>
        <v>2.5750000000000006</v>
      </c>
      <c r="D56" s="63">
        <f t="shared" si="3"/>
        <v>0</v>
      </c>
      <c r="E56" s="63">
        <f t="shared" si="3"/>
        <v>0</v>
      </c>
      <c r="F56" s="63">
        <f t="shared" si="3"/>
        <v>0</v>
      </c>
      <c r="G56" s="63">
        <f t="shared" si="3"/>
        <v>0</v>
      </c>
      <c r="H56" s="63">
        <f t="shared" si="3"/>
        <v>0</v>
      </c>
      <c r="I56" s="67">
        <f t="shared" si="4"/>
        <v>0.84399999999999942</v>
      </c>
      <c r="J56" s="63">
        <f t="shared" si="4"/>
        <v>0.17300000000000007</v>
      </c>
      <c r="K56" s="63">
        <f t="shared" si="4"/>
        <v>0</v>
      </c>
      <c r="L56" s="63">
        <f t="shared" si="4"/>
        <v>7.4000000000000732E-2</v>
      </c>
      <c r="M56" s="63">
        <f t="shared" si="4"/>
        <v>0</v>
      </c>
      <c r="N56" s="63">
        <f t="shared" si="4"/>
        <v>0.17300000000000004</v>
      </c>
      <c r="O56" s="67">
        <f t="shared" si="5"/>
        <v>0.29999999999999982</v>
      </c>
      <c r="P56" s="63">
        <f t="shared" si="5"/>
        <v>0</v>
      </c>
      <c r="Q56" s="63">
        <f t="shared" si="5"/>
        <v>0</v>
      </c>
      <c r="R56" s="63">
        <f t="shared" si="5"/>
        <v>0</v>
      </c>
      <c r="S56" s="63">
        <f t="shared" si="5"/>
        <v>0</v>
      </c>
      <c r="T56" s="68">
        <f t="shared" si="5"/>
        <v>0</v>
      </c>
    </row>
    <row r="57" spans="2:20" ht="15.75" thickBot="1">
      <c r="B57" s="26" t="s">
        <v>5</v>
      </c>
      <c r="C57" s="69">
        <f t="shared" si="3"/>
        <v>2.0300000000000002</v>
      </c>
      <c r="D57" s="70">
        <f t="shared" si="3"/>
        <v>0</v>
      </c>
      <c r="E57" s="70">
        <f t="shared" si="3"/>
        <v>0</v>
      </c>
      <c r="F57" s="70">
        <f t="shared" si="3"/>
        <v>0</v>
      </c>
      <c r="G57" s="70">
        <f t="shared" si="3"/>
        <v>0</v>
      </c>
      <c r="H57" s="70">
        <f t="shared" si="3"/>
        <v>0.54500000000000037</v>
      </c>
      <c r="I57" s="69">
        <f t="shared" si="4"/>
        <v>1.2699999999999996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0</v>
      </c>
      <c r="O57" s="69">
        <f t="shared" si="5"/>
        <v>0.29999999999999982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N58"/>
  <sheetViews>
    <sheetView topLeftCell="A5" zoomScale="50" zoomScaleNormal="50" workbookViewId="0">
      <selection activeCell="C7" sqref="C7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36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>
        <f>((3.6-3)/H12)+((4.675-3.65)/H12)</f>
        <v>0.64741035856573692</v>
      </c>
      <c r="D6" s="20">
        <f>((3.65-3.6)/H12)+((4.775-4.675)/H12)</f>
        <v>5.9760956175298939E-2</v>
      </c>
      <c r="E6" s="20">
        <f>((3-2.9)/H12)</f>
        <v>3.9840637450199237E-2</v>
      </c>
      <c r="F6" s="20">
        <f>(4.85-4.775)/H12</f>
        <v>2.9880478087649116E-2</v>
      </c>
      <c r="G6" s="20"/>
      <c r="H6" s="21">
        <f>((2.899-D12)/H12)+((F12-4.85)/H12)</f>
        <v>0.22270916334661378</v>
      </c>
      <c r="I6" s="2">
        <f>(L12-6.075)/N12</f>
        <v>0.12918660287081321</v>
      </c>
      <c r="J6" s="2"/>
      <c r="K6" s="2">
        <f>(6.075-5.975)/N12</f>
        <v>9.5693779904306733E-2</v>
      </c>
      <c r="L6" s="2"/>
      <c r="M6" s="2">
        <f>(5.975-5.25)/N12</f>
        <v>0.69377990430621983</v>
      </c>
      <c r="N6" s="10">
        <f>(5.25-J12)/N12</f>
        <v>8.1339712918660254E-2</v>
      </c>
      <c r="O6" s="1">
        <f>1</f>
        <v>1</v>
      </c>
      <c r="P6" s="2"/>
      <c r="Q6" s="2"/>
      <c r="R6" s="2"/>
      <c r="S6" s="2"/>
      <c r="T6" s="10"/>
    </row>
    <row r="7" spans="1:40">
      <c r="B7" s="11" t="s">
        <v>1</v>
      </c>
      <c r="C7" s="22">
        <v>1</v>
      </c>
      <c r="D7" s="2"/>
      <c r="E7" s="2"/>
      <c r="F7" s="2"/>
      <c r="G7" s="2"/>
      <c r="H7" s="10"/>
      <c r="I7" s="2">
        <f>(L12-6.1)/N12</f>
        <v>0.10526315789473716</v>
      </c>
      <c r="J7" s="2"/>
      <c r="K7" s="2"/>
      <c r="L7" s="2"/>
      <c r="M7" s="2">
        <f>(5.55-5.2)/N12</f>
        <v>0.33492822966507146</v>
      </c>
      <c r="N7" s="10">
        <f>(6.1-5.55)/N12</f>
        <v>0.52631578947368407</v>
      </c>
      <c r="O7" s="2">
        <v>1</v>
      </c>
      <c r="P7" s="2"/>
      <c r="Q7" s="2"/>
      <c r="R7" s="2"/>
      <c r="S7" s="2"/>
      <c r="T7" s="10"/>
    </row>
    <row r="8" spans="1:40">
      <c r="B8" s="11" t="s">
        <v>2</v>
      </c>
      <c r="C8" s="22">
        <f>((4.25-D12)/H12)+((F12-4.3)/H12)</f>
        <v>0.98007968127490042</v>
      </c>
      <c r="D8" s="2"/>
      <c r="E8" s="2"/>
      <c r="F8" s="2">
        <f>(4.3-4.25)/H12</f>
        <v>1.9920318725099528E-2</v>
      </c>
      <c r="G8" s="2"/>
      <c r="H8" s="10"/>
      <c r="I8" s="2">
        <v>1</v>
      </c>
      <c r="J8" s="2"/>
      <c r="K8" s="2"/>
      <c r="L8" s="2"/>
      <c r="M8" s="2"/>
      <c r="N8" s="10"/>
      <c r="O8" s="2">
        <v>1</v>
      </c>
      <c r="P8" s="2"/>
      <c r="Q8" s="2"/>
      <c r="R8" s="2"/>
      <c r="S8" s="2"/>
      <c r="T8" s="10"/>
    </row>
    <row r="9" spans="1:40">
      <c r="B9" s="11" t="s">
        <v>3</v>
      </c>
      <c r="C9" s="22">
        <f>((3.199-D12)/H12)+((F12-3.3)/H12)</f>
        <v>0.95976095617529877</v>
      </c>
      <c r="D9" s="2"/>
      <c r="E9" s="2"/>
      <c r="F9" s="2">
        <f>(3.3-3.2)/H12</f>
        <v>3.9840637450199057E-2</v>
      </c>
      <c r="G9" s="2"/>
      <c r="H9" s="10">
        <f>(3.2-2.85)/H12</f>
        <v>0.13944223107569723</v>
      </c>
      <c r="I9" s="2">
        <v>1</v>
      </c>
      <c r="J9" s="2"/>
      <c r="K9" s="2"/>
      <c r="L9" s="2"/>
      <c r="M9" s="2"/>
      <c r="N9" s="10"/>
      <c r="O9" s="2">
        <v>1</v>
      </c>
      <c r="P9" s="2"/>
      <c r="Q9" s="2"/>
      <c r="R9" s="2"/>
      <c r="S9" s="2"/>
      <c r="T9" s="10"/>
    </row>
    <row r="10" spans="1:40">
      <c r="B10" s="11" t="s">
        <v>4</v>
      </c>
      <c r="C10" s="22">
        <f>((3.524-D12)/H12)+((3.9-3.625)/H12)</f>
        <v>0.45577689243027891</v>
      </c>
      <c r="D10" s="2">
        <f>((3.625-3.525)/H12)+((4.775-4.675)/H12)</f>
        <v>7.9681274900398641E-2</v>
      </c>
      <c r="E10" s="2"/>
      <c r="F10" s="2">
        <f>(4.675-4.575)/H12</f>
        <v>3.9840637450199057E-2</v>
      </c>
      <c r="G10" s="2">
        <f>(4.575-3.9)/H12</f>
        <v>0.26892430278884472</v>
      </c>
      <c r="H10" s="10">
        <f>(F12-4.775)/H12</f>
        <v>0.15537848605577675</v>
      </c>
      <c r="I10" s="2">
        <f>(6.2-5.4)/N12</f>
        <v>0.76555023923444965</v>
      </c>
      <c r="J10" s="2">
        <f>((5.4-5.35)/N12)+((L12-6.2)/N12)</f>
        <v>5.7416267942584212E-2</v>
      </c>
      <c r="K10" s="2"/>
      <c r="L10" s="2"/>
      <c r="M10" s="2"/>
      <c r="N10" s="10">
        <f>(5.35-J12)/N12</f>
        <v>0.17703349282296615</v>
      </c>
      <c r="O10" s="2"/>
      <c r="P10" s="2">
        <f>(6.275-P12)/T12</f>
        <v>0.13978494623656001</v>
      </c>
      <c r="Q10" s="2">
        <f>(R12-6.6)/T12</f>
        <v>0.1612903225806456</v>
      </c>
      <c r="R10" s="2">
        <f>(6.425-6.275)/T12</f>
        <v>0.32258064516128926</v>
      </c>
      <c r="S10" s="2"/>
      <c r="T10" s="10">
        <f>(6.6-6.425)/T12</f>
        <v>0.3763440860215051</v>
      </c>
    </row>
    <row r="11" spans="1:40" ht="15.75" thickBot="1">
      <c r="B11" s="12" t="s">
        <v>5</v>
      </c>
      <c r="C11" s="23">
        <f>((2.975-2.675)/H12)+((3.325-3.025)/H12)+((4.55-3.5)/H12)</f>
        <v>0.65737051792828693</v>
      </c>
      <c r="D11" s="13"/>
      <c r="E11" s="13"/>
      <c r="F11" s="13">
        <f>((2.675-D12)/H12)+((3.025-2.975)/H12)</f>
        <v>2.7888446215139376E-2</v>
      </c>
      <c r="G11" s="13"/>
      <c r="H11" s="14">
        <f>((3.5-3.325)/H12)+((F12-4.55)/H12)</f>
        <v>0.3147410358565737</v>
      </c>
      <c r="I11" s="13">
        <v>1</v>
      </c>
      <c r="J11" s="13"/>
      <c r="K11" s="13"/>
      <c r="L11" s="13"/>
      <c r="M11" s="13"/>
      <c r="N11" s="14"/>
      <c r="O11" s="13">
        <v>1</v>
      </c>
      <c r="P11" s="13"/>
      <c r="Q11" s="13"/>
      <c r="R11" s="13"/>
      <c r="S11" s="13"/>
      <c r="T11" s="14"/>
    </row>
    <row r="12" spans="1:40" ht="15.75" thickBot="1">
      <c r="B12" s="15" t="s">
        <v>22</v>
      </c>
      <c r="C12" s="32" t="s">
        <v>23</v>
      </c>
      <c r="D12" s="33">
        <v>2.6549999999999998</v>
      </c>
      <c r="E12" s="34" t="s">
        <v>24</v>
      </c>
      <c r="F12" s="33">
        <v>5.165</v>
      </c>
      <c r="G12" s="30" t="s">
        <v>21</v>
      </c>
      <c r="H12" s="33">
        <f>F12-D12</f>
        <v>2.5100000000000002</v>
      </c>
      <c r="I12" s="33" t="s">
        <v>23</v>
      </c>
      <c r="J12" s="33">
        <f>F12</f>
        <v>5.165</v>
      </c>
      <c r="K12" s="33" t="s">
        <v>24</v>
      </c>
      <c r="L12" s="33">
        <v>6.21</v>
      </c>
      <c r="M12" s="33" t="s">
        <v>21</v>
      </c>
      <c r="N12" s="33">
        <f>L12-J12</f>
        <v>1.0449999999999999</v>
      </c>
      <c r="O12" s="33" t="s">
        <v>23</v>
      </c>
      <c r="P12" s="33">
        <f>L12</f>
        <v>6.21</v>
      </c>
      <c r="Q12" s="33" t="s">
        <v>24</v>
      </c>
      <c r="R12" s="33">
        <v>6.6749999999999998</v>
      </c>
      <c r="S12" s="33" t="s">
        <v>21</v>
      </c>
      <c r="T12" s="18">
        <f>R12-P12</f>
        <v>0.46499999999999986</v>
      </c>
    </row>
    <row r="14" spans="1:40" ht="15.75" thickBot="1">
      <c r="B14" s="41" t="s">
        <v>31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20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28</v>
      </c>
      <c r="W15" s="85" t="s">
        <v>20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>
        <v>1</v>
      </c>
      <c r="D18" s="20">
        <v>1</v>
      </c>
      <c r="E18" s="20">
        <v>1</v>
      </c>
      <c r="F18" s="20"/>
      <c r="G18" s="20"/>
      <c r="H18" s="21"/>
      <c r="I18" s="1">
        <v>1</v>
      </c>
      <c r="J18" s="2"/>
      <c r="K18" s="2">
        <v>1</v>
      </c>
      <c r="L18" s="2"/>
      <c r="M18" s="2"/>
      <c r="N18" s="10"/>
      <c r="O18" s="2">
        <v>1</v>
      </c>
      <c r="P18" s="2"/>
      <c r="Q18" s="2"/>
      <c r="R18" s="2"/>
      <c r="S18" s="2"/>
      <c r="T18" s="10"/>
      <c r="V18" s="11" t="s">
        <v>7</v>
      </c>
      <c r="W18" s="19">
        <v>1</v>
      </c>
      <c r="X18" s="20"/>
      <c r="Y18" s="20"/>
      <c r="Z18" s="20">
        <v>1</v>
      </c>
      <c r="AA18" s="20"/>
      <c r="AB18" s="21"/>
      <c r="AC18" s="2">
        <v>1</v>
      </c>
      <c r="AD18" s="2"/>
      <c r="AE18" s="2"/>
      <c r="AF18" s="2"/>
      <c r="AG18" s="2"/>
      <c r="AH18" s="10"/>
      <c r="AI18" s="2">
        <v>1</v>
      </c>
      <c r="AJ18" s="2"/>
      <c r="AK18" s="2"/>
      <c r="AL18" s="2"/>
      <c r="AM18" s="2"/>
      <c r="AN18" s="10"/>
    </row>
    <row r="19" spans="2:40">
      <c r="B19" s="11" t="s">
        <v>8</v>
      </c>
      <c r="C19" s="22">
        <v>2</v>
      </c>
      <c r="D19" s="2">
        <v>1</v>
      </c>
      <c r="E19" s="2"/>
      <c r="F19" s="2"/>
      <c r="G19" s="2"/>
      <c r="H19" s="10"/>
      <c r="I19" s="2"/>
      <c r="J19" s="2">
        <v>1</v>
      </c>
      <c r="K19" s="2"/>
      <c r="L19" s="2"/>
      <c r="M19" s="2"/>
      <c r="N19" s="10"/>
      <c r="O19" s="2"/>
      <c r="P19" s="2">
        <v>1</v>
      </c>
      <c r="Q19" s="2"/>
      <c r="R19" s="2"/>
      <c r="S19" s="2"/>
      <c r="T19" s="10"/>
      <c r="V19" s="11" t="s">
        <v>8</v>
      </c>
      <c r="W19" s="22"/>
      <c r="X19" s="2">
        <v>1</v>
      </c>
      <c r="Y19" s="2"/>
      <c r="Z19" s="2"/>
      <c r="AA19" s="2"/>
      <c r="AB19" s="10"/>
      <c r="AC19" s="2"/>
      <c r="AD19" s="2">
        <v>1</v>
      </c>
      <c r="AE19" s="2"/>
      <c r="AF19" s="2"/>
      <c r="AG19" s="2"/>
      <c r="AH19" s="10"/>
      <c r="AI19" s="2"/>
      <c r="AJ19" s="2">
        <v>1</v>
      </c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>
        <v>1</v>
      </c>
      <c r="F20" s="2"/>
      <c r="G20" s="2"/>
      <c r="H20" s="10">
        <v>1</v>
      </c>
      <c r="I20" s="2"/>
      <c r="J20" s="2"/>
      <c r="K20" s="2">
        <v>1</v>
      </c>
      <c r="L20" s="2"/>
      <c r="M20" s="2">
        <v>1</v>
      </c>
      <c r="N20" s="10"/>
      <c r="O20" s="2"/>
      <c r="P20" s="2"/>
      <c r="Q20" s="2">
        <v>1</v>
      </c>
      <c r="R20" s="2"/>
      <c r="S20" s="2"/>
      <c r="T20" s="10"/>
      <c r="V20" s="11" t="s">
        <v>9</v>
      </c>
      <c r="W20" s="22"/>
      <c r="X20" s="2"/>
      <c r="Y20" s="2">
        <v>1</v>
      </c>
      <c r="Z20" s="2"/>
      <c r="AA20" s="2"/>
      <c r="AB20" s="10"/>
      <c r="AC20" s="2"/>
      <c r="AD20" s="2"/>
      <c r="AE20" s="2">
        <v>1</v>
      </c>
      <c r="AF20" s="2"/>
      <c r="AG20" s="2"/>
      <c r="AH20" s="10"/>
      <c r="AI20" s="2"/>
      <c r="AJ20" s="2"/>
      <c r="AK20" s="2">
        <v>1</v>
      </c>
      <c r="AL20" s="2"/>
      <c r="AM20" s="2"/>
      <c r="AN20" s="10"/>
    </row>
    <row r="21" spans="2:40">
      <c r="B21" s="11" t="s">
        <v>10</v>
      </c>
      <c r="C21" s="22"/>
      <c r="D21" s="2">
        <v>1</v>
      </c>
      <c r="E21" s="2"/>
      <c r="F21" s="2">
        <v>1</v>
      </c>
      <c r="G21" s="2"/>
      <c r="H21" s="10"/>
      <c r="I21" s="2"/>
      <c r="J21" s="2"/>
      <c r="K21" s="2"/>
      <c r="L21" s="2">
        <v>1</v>
      </c>
      <c r="M21" s="2"/>
      <c r="N21" s="10"/>
      <c r="O21" s="2"/>
      <c r="P21" s="2"/>
      <c r="Q21" s="2"/>
      <c r="R21" s="2">
        <v>1</v>
      </c>
      <c r="S21" s="2"/>
      <c r="T21" s="10"/>
      <c r="V21" s="11" t="s">
        <v>10</v>
      </c>
      <c r="W21" s="22"/>
      <c r="X21" s="2"/>
      <c r="Y21" s="2"/>
      <c r="Z21" s="2">
        <v>1</v>
      </c>
      <c r="AA21" s="2"/>
      <c r="AB21" s="10">
        <v>1</v>
      </c>
      <c r="AC21" s="2"/>
      <c r="AD21" s="2"/>
      <c r="AE21" s="2"/>
      <c r="AF21" s="2">
        <v>1</v>
      </c>
      <c r="AG21" s="2"/>
      <c r="AH21" s="10"/>
      <c r="AI21" s="2"/>
      <c r="AJ21" s="2"/>
      <c r="AK21" s="2"/>
      <c r="AL21" s="2">
        <v>1</v>
      </c>
      <c r="AM21" s="2"/>
      <c r="AN21" s="10"/>
    </row>
    <row r="22" spans="2:40">
      <c r="B22" s="11" t="s">
        <v>11</v>
      </c>
      <c r="C22" s="22"/>
      <c r="E22" s="2"/>
      <c r="F22" s="2"/>
      <c r="G22" s="2">
        <v>1</v>
      </c>
      <c r="H22" s="10"/>
      <c r="I22" s="2"/>
      <c r="K22" s="2"/>
      <c r="L22" s="2"/>
      <c r="M22" s="2">
        <v>1</v>
      </c>
      <c r="N22" s="10">
        <v>1</v>
      </c>
      <c r="O22" s="2"/>
      <c r="Q22" s="2"/>
      <c r="R22" s="2"/>
      <c r="S22" s="2">
        <v>1</v>
      </c>
      <c r="T22" s="10"/>
      <c r="V22" s="11" t="s">
        <v>11</v>
      </c>
      <c r="X22" s="2"/>
      <c r="Z22" s="2"/>
      <c r="AA22" s="2">
        <v>1</v>
      </c>
      <c r="AB22" s="10"/>
      <c r="AC22" s="2"/>
      <c r="AD22" s="2"/>
      <c r="AE22" s="2"/>
      <c r="AF22" s="2"/>
      <c r="AG22" s="2">
        <v>1</v>
      </c>
      <c r="AH22" s="10"/>
      <c r="AI22" s="2"/>
      <c r="AJ22" s="2"/>
      <c r="AK22" s="2"/>
      <c r="AL22" s="2"/>
      <c r="AM22" s="2">
        <v>1</v>
      </c>
      <c r="AN22" s="10"/>
    </row>
    <row r="23" spans="2:40" ht="15.75" thickBot="1">
      <c r="B23" s="12" t="s">
        <v>12</v>
      </c>
      <c r="C23" s="23"/>
      <c r="D23" s="2"/>
      <c r="E23" s="13"/>
      <c r="F23" s="13">
        <v>1</v>
      </c>
      <c r="G23" s="13"/>
      <c r="H23" s="14">
        <v>1</v>
      </c>
      <c r="I23" s="13"/>
      <c r="J23" s="2"/>
      <c r="K23" s="13"/>
      <c r="L23" s="13"/>
      <c r="M23" s="13"/>
      <c r="N23" s="14">
        <v>1</v>
      </c>
      <c r="O23" s="13"/>
      <c r="P23" s="2"/>
      <c r="Q23" s="13"/>
      <c r="R23" s="13"/>
      <c r="S23" s="13"/>
      <c r="T23" s="14">
        <v>1</v>
      </c>
      <c r="V23" s="12" t="s">
        <v>12</v>
      </c>
      <c r="W23" s="22">
        <v>1</v>
      </c>
      <c r="X23" s="13"/>
      <c r="Y23" s="2"/>
      <c r="Z23" s="13"/>
      <c r="AA23" s="13"/>
      <c r="AB23" s="14">
        <v>1</v>
      </c>
      <c r="AC23" s="13"/>
      <c r="AD23" s="13"/>
      <c r="AE23" s="13"/>
      <c r="AF23" s="13"/>
      <c r="AG23" s="13"/>
      <c r="AH23" s="14">
        <v>1</v>
      </c>
      <c r="AI23" s="13"/>
      <c r="AJ23" s="13"/>
      <c r="AK23" s="13"/>
      <c r="AL23" s="13"/>
      <c r="AM23" s="13"/>
      <c r="AN23" s="14">
        <v>1</v>
      </c>
    </row>
    <row r="24" spans="2:40" ht="15.75" thickBot="1">
      <c r="B24" s="35" t="s">
        <v>26</v>
      </c>
      <c r="C24" s="32">
        <f>SUM(C18:H23)</f>
        <v>13</v>
      </c>
      <c r="D24" s="16"/>
      <c r="E24" s="17"/>
      <c r="F24" s="17"/>
      <c r="G24" s="17"/>
      <c r="H24" s="18"/>
      <c r="I24" s="32">
        <f>SUM(I18:N23)</f>
        <v>9</v>
      </c>
      <c r="J24" s="17"/>
      <c r="K24" s="17"/>
      <c r="L24" s="17"/>
      <c r="M24" s="17"/>
      <c r="N24" s="18"/>
      <c r="O24" s="32">
        <f>SUM(O18:T23)</f>
        <v>6</v>
      </c>
      <c r="P24" s="17"/>
      <c r="Q24" s="17"/>
      <c r="R24" s="17"/>
      <c r="S24" s="17"/>
      <c r="T24" s="18"/>
      <c r="V24" s="35" t="s">
        <v>26</v>
      </c>
      <c r="W24" s="32">
        <f>SUM(W18:AB23)</f>
        <v>9</v>
      </c>
      <c r="X24" s="16"/>
      <c r="Y24" s="17"/>
      <c r="Z24" s="17"/>
      <c r="AA24" s="17"/>
      <c r="AB24" s="18"/>
      <c r="AC24" s="32">
        <f>SUM(AC18:AH23)</f>
        <v>6</v>
      </c>
      <c r="AD24" s="17"/>
      <c r="AE24" s="17"/>
      <c r="AF24" s="17"/>
      <c r="AG24" s="17"/>
      <c r="AH24" s="18"/>
      <c r="AI24" s="32">
        <f>SUM(AI18:AN23)</f>
        <v>6</v>
      </c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25</v>
      </c>
      <c r="C26" s="85" t="s">
        <v>20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30</v>
      </c>
      <c r="W26" s="85" t="s">
        <v>20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>
        <v>1</v>
      </c>
      <c r="D29" s="20"/>
      <c r="E29" s="20"/>
      <c r="F29" s="20"/>
      <c r="G29" s="20"/>
      <c r="H29" s="21"/>
      <c r="I29" s="2">
        <v>1</v>
      </c>
      <c r="J29" s="2"/>
      <c r="K29" s="2"/>
      <c r="L29" s="2"/>
      <c r="M29" s="2"/>
      <c r="N29" s="10">
        <v>1</v>
      </c>
      <c r="O29" s="2">
        <v>1</v>
      </c>
      <c r="P29" s="2"/>
      <c r="Q29" s="2"/>
      <c r="R29" s="2"/>
      <c r="S29" s="2"/>
      <c r="T29" s="10"/>
      <c r="V29" s="11" t="s">
        <v>7</v>
      </c>
      <c r="W29" s="19">
        <v>1</v>
      </c>
      <c r="X29" s="20">
        <v>1</v>
      </c>
      <c r="Y29" s="20"/>
      <c r="Z29" s="20"/>
      <c r="AA29" s="20"/>
      <c r="AB29" s="21"/>
      <c r="AC29" s="2">
        <v>1</v>
      </c>
      <c r="AD29" s="2">
        <v>1</v>
      </c>
      <c r="AE29" s="2"/>
      <c r="AF29" s="2"/>
      <c r="AG29" s="2"/>
      <c r="AH29" s="10"/>
      <c r="AI29" s="2">
        <v>1</v>
      </c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>
        <v>1</v>
      </c>
      <c r="E30" s="2"/>
      <c r="F30" s="2"/>
      <c r="G30" s="2"/>
      <c r="H30" s="10"/>
      <c r="I30" s="2"/>
      <c r="J30" s="2">
        <v>1</v>
      </c>
      <c r="K30" s="2"/>
      <c r="L30" s="2"/>
      <c r="M30" s="2"/>
      <c r="N30" s="10"/>
      <c r="O30" s="2"/>
      <c r="P30" s="2">
        <v>1</v>
      </c>
      <c r="Q30" s="2"/>
      <c r="R30" s="2"/>
      <c r="S30" s="2"/>
      <c r="T30" s="10"/>
      <c r="V30" s="11" t="s">
        <v>8</v>
      </c>
      <c r="W30" s="22">
        <v>1</v>
      </c>
      <c r="X30" s="2">
        <v>1</v>
      </c>
      <c r="Y30" s="2"/>
      <c r="Z30" s="2">
        <v>1</v>
      </c>
      <c r="AA30" s="2"/>
      <c r="AB30" s="10"/>
      <c r="AC30" s="2">
        <v>1</v>
      </c>
      <c r="AD30" s="2">
        <v>1</v>
      </c>
      <c r="AE30" s="2"/>
      <c r="AF30" s="2"/>
      <c r="AG30" s="2"/>
      <c r="AH30" s="10">
        <v>1</v>
      </c>
      <c r="AI30" s="2"/>
      <c r="AJ30" s="2">
        <v>1</v>
      </c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>
        <v>1</v>
      </c>
      <c r="F31" s="2"/>
      <c r="G31" s="2"/>
      <c r="H31" s="10"/>
      <c r="I31" s="2"/>
      <c r="J31" s="2"/>
      <c r="K31" s="2">
        <v>1</v>
      </c>
      <c r="L31" s="2"/>
      <c r="M31" s="2"/>
      <c r="N31" s="10"/>
      <c r="O31" s="2"/>
      <c r="P31" s="2"/>
      <c r="Q31" s="2">
        <v>1</v>
      </c>
      <c r="R31" s="2"/>
      <c r="S31" s="2"/>
      <c r="T31" s="10"/>
      <c r="V31" s="11" t="s">
        <v>9</v>
      </c>
      <c r="W31" s="22"/>
      <c r="X31" s="2"/>
      <c r="Y31" s="2">
        <v>1</v>
      </c>
      <c r="Z31" s="2"/>
      <c r="AA31" s="2"/>
      <c r="AB31" s="10"/>
      <c r="AC31" s="2"/>
      <c r="AD31" s="2"/>
      <c r="AE31" s="2">
        <v>1</v>
      </c>
      <c r="AF31" s="2"/>
      <c r="AG31" s="2"/>
      <c r="AH31" s="10"/>
      <c r="AI31" s="2"/>
      <c r="AJ31" s="2"/>
      <c r="AK31" s="2">
        <v>1</v>
      </c>
      <c r="AL31" s="2"/>
      <c r="AM31" s="2"/>
      <c r="AN31" s="10">
        <v>1</v>
      </c>
    </row>
    <row r="32" spans="2:40">
      <c r="B32" s="11" t="s">
        <v>10</v>
      </c>
      <c r="C32" s="22"/>
      <c r="D32" s="2"/>
      <c r="E32" s="2"/>
      <c r="F32" s="2">
        <v>1</v>
      </c>
      <c r="G32" s="2"/>
      <c r="H32" s="10"/>
      <c r="I32" s="2"/>
      <c r="J32" s="2"/>
      <c r="K32" s="2"/>
      <c r="L32" s="2">
        <v>1</v>
      </c>
      <c r="M32" s="2"/>
      <c r="N32" s="10"/>
      <c r="O32" s="2"/>
      <c r="P32" s="2"/>
      <c r="Q32" s="2"/>
      <c r="R32" s="2">
        <v>1</v>
      </c>
      <c r="S32" s="2"/>
      <c r="T32" s="10"/>
      <c r="V32" s="11" t="s">
        <v>10</v>
      </c>
      <c r="W32" s="22"/>
      <c r="X32" s="2"/>
      <c r="Y32" s="2"/>
      <c r="Z32" s="2">
        <v>1</v>
      </c>
      <c r="AA32" s="2">
        <v>1</v>
      </c>
      <c r="AB32" s="10"/>
      <c r="AC32" s="2"/>
      <c r="AD32" s="2">
        <v>1</v>
      </c>
      <c r="AE32" s="2"/>
      <c r="AF32" s="2">
        <v>1</v>
      </c>
      <c r="AG32" s="2"/>
      <c r="AH32" s="10"/>
      <c r="AI32" s="2"/>
      <c r="AJ32" s="2"/>
      <c r="AK32" s="2"/>
      <c r="AL32" s="2">
        <v>1</v>
      </c>
      <c r="AM32" s="2"/>
      <c r="AN32" s="10"/>
    </row>
    <row r="33" spans="2:40">
      <c r="B33" s="11" t="s">
        <v>11</v>
      </c>
      <c r="C33" s="22"/>
      <c r="D33" s="2"/>
      <c r="E33" s="2"/>
      <c r="F33" s="2"/>
      <c r="G33" s="2">
        <v>1</v>
      </c>
      <c r="H33" s="10"/>
      <c r="I33" s="2">
        <v>1</v>
      </c>
      <c r="J33" s="2"/>
      <c r="K33" s="2"/>
      <c r="M33" s="2">
        <v>1</v>
      </c>
      <c r="N33" s="10"/>
      <c r="O33" s="2"/>
      <c r="P33" s="2"/>
      <c r="Q33" s="2"/>
      <c r="R33" s="2"/>
      <c r="S33" s="2">
        <v>1</v>
      </c>
      <c r="T33" s="10"/>
      <c r="V33" s="11" t="s">
        <v>11</v>
      </c>
      <c r="W33" s="1">
        <v>1</v>
      </c>
      <c r="Z33" s="2"/>
      <c r="AA33" s="2">
        <v>1</v>
      </c>
      <c r="AB33" s="10"/>
      <c r="AC33" s="2"/>
      <c r="AE33" s="2"/>
      <c r="AF33" s="2"/>
      <c r="AG33" s="2">
        <v>1</v>
      </c>
      <c r="AH33" s="10"/>
      <c r="AI33" s="2"/>
      <c r="AJ33" s="2"/>
      <c r="AK33" s="2"/>
      <c r="AL33" s="2"/>
      <c r="AM33" s="2">
        <v>1</v>
      </c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>
        <v>1</v>
      </c>
      <c r="I34" s="13"/>
      <c r="J34" s="13"/>
      <c r="K34" s="13"/>
      <c r="L34" s="2"/>
      <c r="M34" s="13">
        <v>1</v>
      </c>
      <c r="N34" s="14">
        <v>1</v>
      </c>
      <c r="O34" s="13"/>
      <c r="P34" s="13"/>
      <c r="Q34" s="13"/>
      <c r="R34" s="13"/>
      <c r="S34" s="13"/>
      <c r="T34" s="14">
        <v>1</v>
      </c>
      <c r="V34" s="12" t="s">
        <v>12</v>
      </c>
      <c r="W34" s="22"/>
      <c r="X34" s="2">
        <v>1</v>
      </c>
      <c r="Y34" s="2"/>
      <c r="Z34" s="13"/>
      <c r="AA34" s="13"/>
      <c r="AB34" s="14">
        <v>1</v>
      </c>
      <c r="AC34" s="13"/>
      <c r="AD34" s="2"/>
      <c r="AE34" s="13"/>
      <c r="AF34" s="13"/>
      <c r="AG34" s="13"/>
      <c r="AH34" s="14">
        <v>1</v>
      </c>
      <c r="AI34" s="13"/>
      <c r="AJ34" s="13"/>
      <c r="AK34" s="13"/>
      <c r="AL34" s="13">
        <v>1</v>
      </c>
      <c r="AM34" s="13"/>
      <c r="AN34" s="14">
        <v>1</v>
      </c>
    </row>
    <row r="35" spans="2:40" ht="15.75" thickBot="1">
      <c r="B35" s="36" t="s">
        <v>26</v>
      </c>
      <c r="C35" s="32">
        <f>SUM(C29:H34)</f>
        <v>6</v>
      </c>
      <c r="D35" s="16"/>
      <c r="E35" s="17"/>
      <c r="F35" s="17"/>
      <c r="G35" s="17"/>
      <c r="H35" s="18"/>
      <c r="I35" s="32">
        <f>SUM(I29:N34)</f>
        <v>9</v>
      </c>
      <c r="J35" s="17"/>
      <c r="K35" s="17"/>
      <c r="L35" s="17"/>
      <c r="M35" s="17"/>
      <c r="N35" s="18"/>
      <c r="O35" s="32">
        <f>SUM(O29:T34)</f>
        <v>6</v>
      </c>
      <c r="P35" s="17"/>
      <c r="Q35" s="17"/>
      <c r="R35" s="17"/>
      <c r="S35" s="17"/>
      <c r="T35" s="18"/>
      <c r="V35" s="35" t="s">
        <v>26</v>
      </c>
      <c r="W35" s="32">
        <f>SUM(W29:AB34)</f>
        <v>12</v>
      </c>
      <c r="X35" s="16"/>
      <c r="Y35" s="17"/>
      <c r="Z35" s="17"/>
      <c r="AA35" s="17"/>
      <c r="AB35" s="18"/>
      <c r="AC35" s="32">
        <f>SUM(AC29:AH34)</f>
        <v>10</v>
      </c>
      <c r="AD35" s="17"/>
      <c r="AE35" s="17"/>
      <c r="AF35" s="17"/>
      <c r="AG35" s="17"/>
      <c r="AH35" s="18"/>
      <c r="AI35" s="32">
        <f>SUM(AI29:AN34)</f>
        <v>8</v>
      </c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27</v>
      </c>
      <c r="C38" s="85" t="s">
        <v>20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29</v>
      </c>
      <c r="W38" s="85" t="s">
        <v>20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>
        <v>1</v>
      </c>
      <c r="D41" s="20"/>
      <c r="E41" s="20"/>
      <c r="F41" s="20">
        <v>1</v>
      </c>
      <c r="G41" s="20"/>
      <c r="H41" s="21"/>
      <c r="I41" s="2">
        <v>1</v>
      </c>
      <c r="J41" s="2"/>
      <c r="K41" s="2"/>
      <c r="L41" s="2"/>
      <c r="M41" s="2"/>
      <c r="N41" s="10"/>
      <c r="O41" s="2">
        <v>1</v>
      </c>
      <c r="P41" s="2"/>
      <c r="Q41" s="2"/>
      <c r="R41" s="2"/>
      <c r="S41" s="2"/>
      <c r="T41" s="10"/>
      <c r="V41" s="11" t="s">
        <v>7</v>
      </c>
      <c r="W41" s="19">
        <v>1</v>
      </c>
      <c r="X41" s="20"/>
      <c r="Y41" s="20"/>
      <c r="Z41" s="20">
        <v>2</v>
      </c>
      <c r="AA41" s="20"/>
      <c r="AB41" s="21">
        <v>2</v>
      </c>
      <c r="AC41" s="2">
        <v>1</v>
      </c>
      <c r="AD41" s="2"/>
      <c r="AE41" s="2"/>
      <c r="AF41" s="2"/>
      <c r="AG41" s="2"/>
      <c r="AH41" s="10"/>
      <c r="AI41" s="2">
        <v>1</v>
      </c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>
        <v>1</v>
      </c>
      <c r="E42" s="2"/>
      <c r="F42" s="2"/>
      <c r="G42" s="2"/>
      <c r="H42" s="10"/>
      <c r="I42" s="2"/>
      <c r="J42" s="2">
        <v>1</v>
      </c>
      <c r="K42" s="2"/>
      <c r="L42" s="2"/>
      <c r="M42" s="2"/>
      <c r="N42" s="10"/>
      <c r="O42" s="2"/>
      <c r="P42" s="2">
        <v>1</v>
      </c>
      <c r="Q42" s="2"/>
      <c r="R42" s="2"/>
      <c r="S42" s="2"/>
      <c r="T42" s="10"/>
      <c r="V42" s="11" t="s">
        <v>8</v>
      </c>
      <c r="W42" s="22"/>
      <c r="X42" s="2">
        <v>1</v>
      </c>
      <c r="Y42" s="2"/>
      <c r="Z42" s="2"/>
      <c r="AA42" s="2"/>
      <c r="AB42" s="10"/>
      <c r="AC42" s="2"/>
      <c r="AD42" s="2">
        <v>1</v>
      </c>
      <c r="AE42" s="2"/>
      <c r="AF42" s="2"/>
      <c r="AG42" s="2"/>
      <c r="AH42" s="10"/>
      <c r="AI42" s="2"/>
      <c r="AJ42" s="2">
        <v>1</v>
      </c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>
        <v>1</v>
      </c>
      <c r="F43" s="2"/>
      <c r="G43" s="2"/>
      <c r="H43" s="10"/>
      <c r="I43" s="2"/>
      <c r="J43" s="2"/>
      <c r="K43" s="2">
        <v>1</v>
      </c>
      <c r="L43" s="2"/>
      <c r="M43" s="2"/>
      <c r="N43" s="10"/>
      <c r="O43" s="2"/>
      <c r="P43" s="2"/>
      <c r="Q43" s="2">
        <v>1</v>
      </c>
      <c r="R43" s="2"/>
      <c r="S43" s="2"/>
      <c r="T43" s="10"/>
      <c r="V43" s="11" t="s">
        <v>9</v>
      </c>
      <c r="W43" s="22"/>
      <c r="X43" s="2"/>
      <c r="Y43" s="2">
        <v>1</v>
      </c>
      <c r="Z43" s="2"/>
      <c r="AA43" s="2"/>
      <c r="AB43" s="10"/>
      <c r="AC43" s="2"/>
      <c r="AD43" s="2"/>
      <c r="AE43" s="2">
        <v>1</v>
      </c>
      <c r="AF43" s="2"/>
      <c r="AG43" s="2"/>
      <c r="AH43" s="10"/>
      <c r="AI43" s="2"/>
      <c r="AJ43" s="2"/>
      <c r="AK43" s="2">
        <v>1</v>
      </c>
      <c r="AL43" s="2"/>
      <c r="AM43" s="2"/>
      <c r="AN43" s="10"/>
    </row>
    <row r="44" spans="2:40">
      <c r="B44" s="11" t="s">
        <v>10</v>
      </c>
      <c r="C44" s="22">
        <v>1</v>
      </c>
      <c r="D44" s="2"/>
      <c r="E44" s="2"/>
      <c r="F44" s="2">
        <v>1</v>
      </c>
      <c r="G44" s="2"/>
      <c r="H44" s="10"/>
      <c r="I44" s="2"/>
      <c r="J44" s="2"/>
      <c r="K44" s="2"/>
      <c r="L44" s="2">
        <v>1</v>
      </c>
      <c r="M44" s="2"/>
      <c r="N44" s="10"/>
      <c r="O44" s="2"/>
      <c r="P44" s="2"/>
      <c r="Q44" s="2"/>
      <c r="R44" s="2">
        <v>1</v>
      </c>
      <c r="S44" s="2"/>
      <c r="T44" s="10"/>
      <c r="V44" s="11" t="s">
        <v>10</v>
      </c>
      <c r="W44" s="22">
        <v>1</v>
      </c>
      <c r="X44" s="2"/>
      <c r="Y44" s="2"/>
      <c r="Z44" s="2">
        <v>1</v>
      </c>
      <c r="AA44" s="2"/>
      <c r="AB44" s="10"/>
      <c r="AC44" s="2"/>
      <c r="AD44" s="2"/>
      <c r="AE44" s="2"/>
      <c r="AF44" s="2">
        <v>1</v>
      </c>
      <c r="AG44" s="2"/>
      <c r="AH44" s="10"/>
      <c r="AI44" s="2"/>
      <c r="AJ44" s="2"/>
      <c r="AK44" s="2"/>
      <c r="AL44" s="2">
        <v>1</v>
      </c>
      <c r="AM44" s="2"/>
      <c r="AN44" s="10"/>
    </row>
    <row r="45" spans="2:40">
      <c r="B45" s="11" t="s">
        <v>11</v>
      </c>
      <c r="C45" s="22"/>
      <c r="D45" s="2"/>
      <c r="E45" s="2"/>
      <c r="F45" s="2"/>
      <c r="G45" s="2">
        <v>1</v>
      </c>
      <c r="H45" s="10"/>
      <c r="I45" s="2"/>
      <c r="J45" s="2"/>
      <c r="K45" s="2"/>
      <c r="L45" s="2"/>
      <c r="M45" s="2">
        <v>1</v>
      </c>
      <c r="N45" s="10"/>
      <c r="O45" s="2"/>
      <c r="P45" s="2"/>
      <c r="Q45" s="2"/>
      <c r="S45" s="2">
        <v>1</v>
      </c>
      <c r="T45" s="10"/>
      <c r="V45" s="11" t="s">
        <v>11</v>
      </c>
      <c r="W45" s="22"/>
      <c r="X45" s="2"/>
      <c r="Y45" s="2"/>
      <c r="Z45" s="2"/>
      <c r="AA45" s="2">
        <v>1</v>
      </c>
      <c r="AB45" s="10"/>
      <c r="AC45" s="2"/>
      <c r="AD45" s="2"/>
      <c r="AE45" s="2"/>
      <c r="AF45" s="2"/>
      <c r="AG45" s="2">
        <v>1</v>
      </c>
      <c r="AH45" s="10"/>
      <c r="AI45" s="2"/>
      <c r="AJ45" s="2"/>
      <c r="AK45" s="2"/>
      <c r="AL45" s="2"/>
      <c r="AM45" s="2">
        <v>1</v>
      </c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>
        <v>1</v>
      </c>
      <c r="I46" s="13"/>
      <c r="J46" s="13"/>
      <c r="K46" s="13"/>
      <c r="L46" s="13"/>
      <c r="M46" s="13"/>
      <c r="N46" s="14">
        <v>1</v>
      </c>
      <c r="O46" s="13"/>
      <c r="P46" s="13"/>
      <c r="Q46" s="13"/>
      <c r="R46" s="2"/>
      <c r="S46" s="13"/>
      <c r="T46" s="14">
        <v>1</v>
      </c>
      <c r="V46" s="12" t="s">
        <v>12</v>
      </c>
      <c r="W46" s="23">
        <v>2</v>
      </c>
      <c r="X46" s="13"/>
      <c r="Y46" s="13"/>
      <c r="Z46" s="13"/>
      <c r="AA46" s="13"/>
      <c r="AB46" s="14">
        <v>1</v>
      </c>
      <c r="AC46" s="13"/>
      <c r="AD46" s="13"/>
      <c r="AE46" s="13"/>
      <c r="AF46" s="13"/>
      <c r="AG46" s="13"/>
      <c r="AH46" s="14">
        <v>1</v>
      </c>
      <c r="AI46" s="13"/>
      <c r="AJ46" s="13"/>
      <c r="AK46" s="13"/>
      <c r="AL46" s="13"/>
      <c r="AM46" s="13"/>
      <c r="AN46" s="14">
        <v>1</v>
      </c>
    </row>
    <row r="47" spans="2:40" ht="15.75" thickBot="1">
      <c r="B47" s="36" t="s">
        <v>26</v>
      </c>
      <c r="C47" s="32">
        <f>SUM(C41:H46)</f>
        <v>8</v>
      </c>
      <c r="D47" s="16"/>
      <c r="E47" s="17"/>
      <c r="F47" s="17"/>
      <c r="G47" s="17"/>
      <c r="H47" s="18"/>
      <c r="I47" s="32">
        <f>SUM(I41:N46)</f>
        <v>6</v>
      </c>
      <c r="J47" s="17"/>
      <c r="K47" s="17"/>
      <c r="L47" s="17"/>
      <c r="M47" s="17"/>
      <c r="N47" s="18"/>
      <c r="O47" s="32">
        <f>SUM(O41:T46)</f>
        <v>6</v>
      </c>
      <c r="P47" s="17"/>
      <c r="Q47" s="17"/>
      <c r="R47" s="17"/>
      <c r="S47" s="17"/>
      <c r="T47" s="18"/>
      <c r="V47" s="35" t="s">
        <v>26</v>
      </c>
      <c r="W47" s="32">
        <f>SUM(W41:AB46)</f>
        <v>13</v>
      </c>
      <c r="X47" s="16"/>
      <c r="Y47" s="17"/>
      <c r="Z47" s="17"/>
      <c r="AA47" s="17"/>
      <c r="AB47" s="18"/>
      <c r="AC47" s="32">
        <f>SUM(AC41:AH46)</f>
        <v>6</v>
      </c>
      <c r="AD47" s="17"/>
      <c r="AE47" s="17"/>
      <c r="AF47" s="17"/>
      <c r="AG47" s="17"/>
      <c r="AH47" s="18"/>
      <c r="AI47" s="32">
        <f>SUM(AI41:AN46)</f>
        <v>6</v>
      </c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42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60" t="s">
        <v>7</v>
      </c>
      <c r="D51" s="61" t="s">
        <v>8</v>
      </c>
      <c r="E51" s="61" t="s">
        <v>40</v>
      </c>
      <c r="F51" s="61" t="s">
        <v>10</v>
      </c>
      <c r="G51" s="61" t="s">
        <v>11</v>
      </c>
      <c r="H51" s="62" t="s">
        <v>12</v>
      </c>
      <c r="I51" s="60" t="s">
        <v>7</v>
      </c>
      <c r="J51" s="61" t="s">
        <v>8</v>
      </c>
      <c r="K51" s="61" t="s">
        <v>40</v>
      </c>
      <c r="L51" s="61" t="s">
        <v>10</v>
      </c>
      <c r="M51" s="61" t="s">
        <v>11</v>
      </c>
      <c r="N51" s="62" t="s">
        <v>12</v>
      </c>
      <c r="O51" s="60" t="s">
        <v>7</v>
      </c>
      <c r="P51" s="61" t="s">
        <v>8</v>
      </c>
      <c r="Q51" s="61" t="s">
        <v>40</v>
      </c>
      <c r="R51" s="61" t="s">
        <v>10</v>
      </c>
      <c r="S51" s="61" t="s">
        <v>11</v>
      </c>
      <c r="T51" s="62" t="s">
        <v>12</v>
      </c>
    </row>
    <row r="52" spans="2:20">
      <c r="B52" s="24" t="s">
        <v>0</v>
      </c>
      <c r="C52" s="64">
        <f>C6*$H$12</f>
        <v>1.6249999999999998</v>
      </c>
      <c r="D52" s="65">
        <f t="shared" ref="D52:H52" si="0">D6*$H$12</f>
        <v>0.15000000000000036</v>
      </c>
      <c r="E52" s="65">
        <f t="shared" si="0"/>
        <v>0.10000000000000009</v>
      </c>
      <c r="F52" s="65">
        <f t="shared" si="0"/>
        <v>7.4999999999999289E-2</v>
      </c>
      <c r="G52" s="65">
        <f t="shared" si="0"/>
        <v>0</v>
      </c>
      <c r="H52" s="65">
        <f t="shared" si="0"/>
        <v>0.55900000000000061</v>
      </c>
      <c r="I52" s="64">
        <f>I6*$N$12</f>
        <v>0.13499999999999979</v>
      </c>
      <c r="J52" s="65">
        <f t="shared" ref="J52:N52" si="1">J6*$N$12</f>
        <v>0</v>
      </c>
      <c r="K52" s="65">
        <f t="shared" si="1"/>
        <v>0.10000000000000053</v>
      </c>
      <c r="L52" s="65">
        <f t="shared" si="1"/>
        <v>0</v>
      </c>
      <c r="M52" s="65">
        <f t="shared" si="1"/>
        <v>0.72499999999999964</v>
      </c>
      <c r="N52" s="65">
        <f t="shared" si="1"/>
        <v>8.4999999999999964E-2</v>
      </c>
      <c r="O52" s="64">
        <f>O6*$T$12</f>
        <v>0.46499999999999986</v>
      </c>
      <c r="P52" s="65">
        <f t="shared" ref="P52:T52" si="2">P6*$T$12</f>
        <v>0</v>
      </c>
      <c r="Q52" s="65">
        <f t="shared" si="2"/>
        <v>0</v>
      </c>
      <c r="R52" s="65">
        <f t="shared" si="2"/>
        <v>0</v>
      </c>
      <c r="S52" s="65">
        <f t="shared" si="2"/>
        <v>0</v>
      </c>
      <c r="T52" s="66">
        <f t="shared" si="2"/>
        <v>0</v>
      </c>
    </row>
    <row r="53" spans="2:20">
      <c r="B53" s="26" t="s">
        <v>1</v>
      </c>
      <c r="C53" s="67">
        <f t="shared" ref="C53:H57" si="3">C7*$H$12</f>
        <v>2.5100000000000002</v>
      </c>
      <c r="D53" s="63">
        <f t="shared" si="3"/>
        <v>0</v>
      </c>
      <c r="E53" s="63">
        <f t="shared" si="3"/>
        <v>0</v>
      </c>
      <c r="F53" s="63">
        <f t="shared" si="3"/>
        <v>0</v>
      </c>
      <c r="G53" s="63">
        <f t="shared" si="3"/>
        <v>0</v>
      </c>
      <c r="H53" s="63">
        <f t="shared" si="3"/>
        <v>0</v>
      </c>
      <c r="I53" s="67">
        <f t="shared" ref="I53:N57" si="4">I7*$N$12</f>
        <v>0.11000000000000032</v>
      </c>
      <c r="J53" s="63">
        <f t="shared" si="4"/>
        <v>0</v>
      </c>
      <c r="K53" s="63">
        <f t="shared" si="4"/>
        <v>0</v>
      </c>
      <c r="L53" s="63">
        <f t="shared" si="4"/>
        <v>0</v>
      </c>
      <c r="M53" s="63">
        <f t="shared" si="4"/>
        <v>0.34999999999999964</v>
      </c>
      <c r="N53" s="63">
        <f t="shared" si="4"/>
        <v>0.54999999999999982</v>
      </c>
      <c r="O53" s="67">
        <f t="shared" ref="O53:T57" si="5">O7*$T$12</f>
        <v>0.46499999999999986</v>
      </c>
      <c r="P53" s="63">
        <f t="shared" si="5"/>
        <v>0</v>
      </c>
      <c r="Q53" s="63">
        <f t="shared" si="5"/>
        <v>0</v>
      </c>
      <c r="R53" s="63">
        <f t="shared" si="5"/>
        <v>0</v>
      </c>
      <c r="S53" s="63">
        <f t="shared" si="5"/>
        <v>0</v>
      </c>
      <c r="T53" s="68">
        <f t="shared" si="5"/>
        <v>0</v>
      </c>
    </row>
    <row r="54" spans="2:20">
      <c r="B54" s="26" t="s">
        <v>2</v>
      </c>
      <c r="C54" s="67">
        <f t="shared" si="3"/>
        <v>2.4600000000000004</v>
      </c>
      <c r="D54" s="63">
        <f t="shared" si="3"/>
        <v>0</v>
      </c>
      <c r="E54" s="63">
        <f t="shared" si="3"/>
        <v>0</v>
      </c>
      <c r="F54" s="63">
        <f t="shared" si="3"/>
        <v>4.9999999999999822E-2</v>
      </c>
      <c r="G54" s="63">
        <f t="shared" si="3"/>
        <v>0</v>
      </c>
      <c r="H54" s="63">
        <f t="shared" si="3"/>
        <v>0</v>
      </c>
      <c r="I54" s="67">
        <f t="shared" si="4"/>
        <v>1.0449999999999999</v>
      </c>
      <c r="J54" s="63">
        <f t="shared" si="4"/>
        <v>0</v>
      </c>
      <c r="K54" s="63">
        <f t="shared" si="4"/>
        <v>0</v>
      </c>
      <c r="L54" s="63">
        <f t="shared" si="4"/>
        <v>0</v>
      </c>
      <c r="M54" s="63">
        <f t="shared" si="4"/>
        <v>0</v>
      </c>
      <c r="N54" s="63">
        <f t="shared" si="4"/>
        <v>0</v>
      </c>
      <c r="O54" s="67">
        <f t="shared" si="5"/>
        <v>0.46499999999999986</v>
      </c>
      <c r="P54" s="63">
        <f t="shared" si="5"/>
        <v>0</v>
      </c>
      <c r="Q54" s="63">
        <f t="shared" si="5"/>
        <v>0</v>
      </c>
      <c r="R54" s="63">
        <f t="shared" si="5"/>
        <v>0</v>
      </c>
      <c r="S54" s="63">
        <f t="shared" si="5"/>
        <v>0</v>
      </c>
      <c r="T54" s="68">
        <f t="shared" si="5"/>
        <v>0</v>
      </c>
    </row>
    <row r="55" spans="2:20">
      <c r="B55" s="26" t="s">
        <v>3</v>
      </c>
      <c r="C55" s="67">
        <f t="shared" si="3"/>
        <v>2.4090000000000003</v>
      </c>
      <c r="D55" s="63">
        <f t="shared" si="3"/>
        <v>0</v>
      </c>
      <c r="E55" s="63">
        <f t="shared" si="3"/>
        <v>0</v>
      </c>
      <c r="F55" s="63">
        <f t="shared" si="3"/>
        <v>9.9999999999999645E-2</v>
      </c>
      <c r="G55" s="63">
        <f t="shared" si="3"/>
        <v>0</v>
      </c>
      <c r="H55" s="63">
        <f t="shared" si="3"/>
        <v>0.35000000000000009</v>
      </c>
      <c r="I55" s="67">
        <f t="shared" si="4"/>
        <v>1.0449999999999999</v>
      </c>
      <c r="J55" s="63">
        <f t="shared" si="4"/>
        <v>0</v>
      </c>
      <c r="K55" s="63">
        <f t="shared" si="4"/>
        <v>0</v>
      </c>
      <c r="L55" s="63">
        <f t="shared" si="4"/>
        <v>0</v>
      </c>
      <c r="M55" s="63">
        <f t="shared" si="4"/>
        <v>0</v>
      </c>
      <c r="N55" s="63">
        <f t="shared" si="4"/>
        <v>0</v>
      </c>
      <c r="O55" s="67">
        <f t="shared" si="5"/>
        <v>0.46499999999999986</v>
      </c>
      <c r="P55" s="63">
        <f t="shared" si="5"/>
        <v>0</v>
      </c>
      <c r="Q55" s="63">
        <f t="shared" si="5"/>
        <v>0</v>
      </c>
      <c r="R55" s="63">
        <f t="shared" si="5"/>
        <v>0</v>
      </c>
      <c r="S55" s="63">
        <f t="shared" si="5"/>
        <v>0</v>
      </c>
      <c r="T55" s="68">
        <f t="shared" si="5"/>
        <v>0</v>
      </c>
    </row>
    <row r="56" spans="2:20">
      <c r="B56" s="26" t="s">
        <v>4</v>
      </c>
      <c r="C56" s="67">
        <f t="shared" si="3"/>
        <v>1.1440000000000001</v>
      </c>
      <c r="D56" s="63">
        <f t="shared" si="3"/>
        <v>0.20000000000000059</v>
      </c>
      <c r="E56" s="63">
        <f t="shared" si="3"/>
        <v>0</v>
      </c>
      <c r="F56" s="63">
        <f t="shared" si="3"/>
        <v>9.9999999999999645E-2</v>
      </c>
      <c r="G56" s="63">
        <f t="shared" si="3"/>
        <v>0.67500000000000027</v>
      </c>
      <c r="H56" s="63">
        <f t="shared" si="3"/>
        <v>0.38999999999999968</v>
      </c>
      <c r="I56" s="67">
        <f t="shared" si="4"/>
        <v>0.79999999999999982</v>
      </c>
      <c r="J56" s="63">
        <f t="shared" si="4"/>
        <v>6.0000000000000497E-2</v>
      </c>
      <c r="K56" s="63">
        <f t="shared" si="4"/>
        <v>0</v>
      </c>
      <c r="L56" s="63">
        <f t="shared" si="4"/>
        <v>0</v>
      </c>
      <c r="M56" s="63">
        <f t="shared" si="4"/>
        <v>0</v>
      </c>
      <c r="N56" s="63">
        <f t="shared" si="4"/>
        <v>0.18499999999999961</v>
      </c>
      <c r="O56" s="67">
        <f t="shared" si="5"/>
        <v>0</v>
      </c>
      <c r="P56" s="63">
        <f t="shared" si="5"/>
        <v>6.5000000000000391E-2</v>
      </c>
      <c r="Q56" s="63">
        <f t="shared" si="5"/>
        <v>7.5000000000000178E-2</v>
      </c>
      <c r="R56" s="63">
        <f t="shared" si="5"/>
        <v>0.14999999999999947</v>
      </c>
      <c r="S56" s="63">
        <f t="shared" si="5"/>
        <v>0</v>
      </c>
      <c r="T56" s="68">
        <f t="shared" si="5"/>
        <v>0.17499999999999982</v>
      </c>
    </row>
    <row r="57" spans="2:20" ht="15.75" thickBot="1">
      <c r="B57" s="26" t="s">
        <v>5</v>
      </c>
      <c r="C57" s="69">
        <f t="shared" si="3"/>
        <v>1.6500000000000004</v>
      </c>
      <c r="D57" s="70">
        <f t="shared" si="3"/>
        <v>0</v>
      </c>
      <c r="E57" s="70">
        <f t="shared" si="3"/>
        <v>0</v>
      </c>
      <c r="F57" s="70">
        <f t="shared" si="3"/>
        <v>6.999999999999984E-2</v>
      </c>
      <c r="G57" s="70">
        <f t="shared" si="3"/>
        <v>0</v>
      </c>
      <c r="H57" s="70">
        <f t="shared" si="3"/>
        <v>0.79</v>
      </c>
      <c r="I57" s="69">
        <f t="shared" si="4"/>
        <v>1.0449999999999999</v>
      </c>
      <c r="J57" s="70">
        <f t="shared" si="4"/>
        <v>0</v>
      </c>
      <c r="K57" s="70">
        <f t="shared" si="4"/>
        <v>0</v>
      </c>
      <c r="L57" s="70">
        <f t="shared" si="4"/>
        <v>0</v>
      </c>
      <c r="M57" s="70">
        <f t="shared" si="4"/>
        <v>0</v>
      </c>
      <c r="N57" s="70">
        <f t="shared" si="4"/>
        <v>0</v>
      </c>
      <c r="O57" s="69">
        <f t="shared" si="5"/>
        <v>0.46499999999999986</v>
      </c>
      <c r="P57" s="70">
        <f t="shared" si="5"/>
        <v>0</v>
      </c>
      <c r="Q57" s="70">
        <f t="shared" si="5"/>
        <v>0</v>
      </c>
      <c r="R57" s="70">
        <f t="shared" si="5"/>
        <v>0</v>
      </c>
      <c r="S57" s="70">
        <f t="shared" si="5"/>
        <v>0</v>
      </c>
      <c r="T57" s="71">
        <f t="shared" si="5"/>
        <v>0</v>
      </c>
    </row>
    <row r="58" spans="2:20" ht="15.75" thickBot="1">
      <c r="B58" s="44" t="str">
        <f>'1'!B12</f>
        <v>Notes</v>
      </c>
      <c r="C58" s="48" t="str">
        <f>'1'!C12</f>
        <v>Start</v>
      </c>
      <c r="D58" s="45">
        <f>'1'!D12</f>
        <v>2.6549999999999998</v>
      </c>
      <c r="E58" s="48" t="str">
        <f>'1'!E12</f>
        <v>End</v>
      </c>
      <c r="F58" s="45">
        <f>'1'!F12</f>
        <v>5.1449999999999996</v>
      </c>
      <c r="G58" s="48" t="str">
        <f>'1'!G12</f>
        <v>Duration</v>
      </c>
      <c r="H58" s="45">
        <f>'1'!H12</f>
        <v>2.4899999999999998</v>
      </c>
      <c r="I58" s="48" t="str">
        <f>'1'!I12</f>
        <v>Start</v>
      </c>
      <c r="J58" s="45">
        <f>'1'!J12</f>
        <v>5.1449999999999996</v>
      </c>
      <c r="K58" s="48" t="str">
        <f>'1'!K12</f>
        <v>End</v>
      </c>
      <c r="L58" s="45">
        <f>'1'!L12</f>
        <v>6.4249999999999998</v>
      </c>
      <c r="M58" s="48" t="str">
        <f>'1'!M12</f>
        <v>Duration</v>
      </c>
      <c r="N58" s="45">
        <f>'1'!N12</f>
        <v>1.2800000000000002</v>
      </c>
      <c r="O58" s="48" t="str">
        <f>'1'!O12</f>
        <v>Start</v>
      </c>
      <c r="P58" s="45">
        <f>'1'!P12</f>
        <v>6.4249999999999998</v>
      </c>
      <c r="Q58" s="48" t="str">
        <f>'1'!Q12</f>
        <v>End</v>
      </c>
      <c r="R58" s="45">
        <f>'1'!R12</f>
        <v>6.82</v>
      </c>
      <c r="S58" s="48" t="str">
        <f>'1'!S12</f>
        <v>Duration</v>
      </c>
      <c r="T58" s="46">
        <f>'1'!T12</f>
        <v>0.39500000000000046</v>
      </c>
    </row>
  </sheetData>
  <mergeCells count="39">
    <mergeCell ref="B15:B17"/>
    <mergeCell ref="C15:T15"/>
    <mergeCell ref="A1:B1"/>
    <mergeCell ref="C3:T3"/>
    <mergeCell ref="C4:H4"/>
    <mergeCell ref="I4:N4"/>
    <mergeCell ref="O4:T4"/>
    <mergeCell ref="V15:V17"/>
    <mergeCell ref="W15:AN15"/>
    <mergeCell ref="C16:H16"/>
    <mergeCell ref="I16:N16"/>
    <mergeCell ref="O16:T16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49:T49"/>
    <mergeCell ref="C50:H50"/>
    <mergeCell ref="I50:N50"/>
    <mergeCell ref="O50:T50"/>
    <mergeCell ref="B38:B40"/>
    <mergeCell ref="C38:T38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N71"/>
  <sheetViews>
    <sheetView zoomScale="50" zoomScaleNormal="50" workbookViewId="0">
      <selection activeCell="O11" sqref="O11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 t="s">
        <v>38</v>
      </c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5" t="s">
        <v>16</v>
      </c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7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 ht="15.75" thickBot="1">
      <c r="B6" s="9" t="s">
        <v>0</v>
      </c>
      <c r="C6" s="19">
        <f>('1'!C6+'2'!C6+'3'!C6+'4'!C6+'5'!C6+'6'!C6+'7'!C6)/7</f>
        <v>0.58928054359176407</v>
      </c>
      <c r="D6" s="19">
        <f>('1'!D6+'2'!D6+'3'!D6+'4'!D6+'5'!D6+'6'!D6+'7'!D6)/7</f>
        <v>2.7154282981303422E-2</v>
      </c>
      <c r="E6" s="19">
        <f>('1'!E6+'2'!E6+'3'!E6+'4'!E6+'5'!E6+'6'!E6+'7'!E6)/7</f>
        <v>2.2008864763557654E-2</v>
      </c>
      <c r="F6" s="19">
        <f>('1'!F6+'2'!F6+'3'!F6+'4'!F6+'5'!F6+'6'!F6+'7'!F6)/7</f>
        <v>2.3965972285599827E-2</v>
      </c>
      <c r="G6" s="19">
        <f>('1'!G6+'2'!G6+'3'!G6+'4'!G6+'5'!G6+'6'!G6+'7'!G6)/7</f>
        <v>4.3789602534562232E-2</v>
      </c>
      <c r="H6" s="19">
        <f>('1'!H6+'2'!H6+'3'!H6+'4'!H6+'5'!H6+'6'!H6+'7'!H6)/7</f>
        <v>0.29173732939443758</v>
      </c>
      <c r="I6" s="19">
        <f>('1'!I6+'2'!I6+'3'!I6+'4'!I6+'5'!I6+'6'!I6+'7'!I6)/7</f>
        <v>0.28333640959643763</v>
      </c>
      <c r="J6" s="19">
        <f>('1'!J6+'2'!J6+'3'!J6+'4'!J6+'5'!J6+'6'!J6+'7'!J6)/7</f>
        <v>8.1707819053812442E-2</v>
      </c>
      <c r="K6" s="19">
        <f>('1'!K6+'2'!K6+'3'!K6+'4'!K6+'5'!K6+'6'!K6+'7'!K6)/7</f>
        <v>2.7245747847251606E-2</v>
      </c>
      <c r="L6" s="19">
        <f>('1'!L6+'2'!L6+'3'!L6+'4'!L6+'5'!L6+'6'!L6+'7'!L6)/7</f>
        <v>9.0909090909090488E-3</v>
      </c>
      <c r="M6" s="19">
        <f>('1'!M6+'2'!M6+'3'!M6+'4'!M6+'5'!M6+'6'!M6+'7'!M6)/7</f>
        <v>0.14078586245768904</v>
      </c>
      <c r="N6" s="19">
        <f>('1'!N6+'2'!N6+'3'!N6+'4'!N6+'5'!N6+'6'!N6+'7'!N6)/7</f>
        <v>0.43700414203505805</v>
      </c>
      <c r="O6" s="19">
        <f>('1'!O6+'2'!O6+'3'!O6+'4'!O6+'5'!O6+'6'!O6+'7'!O6)/7</f>
        <v>0.63577456298975277</v>
      </c>
      <c r="P6" s="19">
        <f>('1'!P6+'2'!P6+'3'!P6+'4'!P6+'5'!P6+'6'!P6+'7'!P6)/7</f>
        <v>1.7721518987341887E-2</v>
      </c>
      <c r="Q6" s="19">
        <f>('1'!Q6+'2'!Q6+'3'!Q6+'4'!Q6+'5'!Q6+'6'!Q6+'7'!Q6)/7</f>
        <v>0</v>
      </c>
      <c r="R6" s="19">
        <f>('1'!R6+'2'!R6+'3'!R6+'4'!R6+'5'!R6+'6'!R6+'7'!R6)/7</f>
        <v>0</v>
      </c>
      <c r="S6" s="19">
        <f>('1'!S6+'2'!S6+'3'!S6+'4'!S6+'5'!S6+'6'!S6+'7'!S6)/7</f>
        <v>0</v>
      </c>
      <c r="T6" s="81">
        <f>('1'!T6+'2'!T6+'3'!T6+'4'!T6+'5'!T6+'6'!T6+'7'!T6)/7</f>
        <v>0.34530440024110937</v>
      </c>
    </row>
    <row r="7" spans="1:40" ht="15.75" thickBot="1">
      <c r="B7" s="11" t="s">
        <v>1</v>
      </c>
      <c r="C7" s="19">
        <f>('1'!C7+'2'!C7+'3'!C7+'4'!C7+'5'!C7+'6'!C7+'7'!C7)/7</f>
        <v>0.84498621035417887</v>
      </c>
      <c r="D7" s="19">
        <f>('1'!D7+'2'!D7+'3'!D7+'4'!D7+'5'!D7+'6'!D7+'7'!D7)/7</f>
        <v>0</v>
      </c>
      <c r="E7" s="19">
        <f>('1'!E7+'2'!E7+'3'!E7+'4'!E7+'5'!E7+'6'!E7+'7'!E7)/7</f>
        <v>0</v>
      </c>
      <c r="F7" s="19">
        <f>('1'!F7+'2'!F7+'3'!F7+'4'!F7+'5'!F7+'6'!F7+'7'!F7)/7</f>
        <v>2.611940298507435E-3</v>
      </c>
      <c r="G7" s="19">
        <f>('1'!G7+'2'!G7+'3'!G7+'4'!G7+'5'!G7+'6'!G7+'7'!G7)/7</f>
        <v>0.13276659646561281</v>
      </c>
      <c r="H7" s="19">
        <f>('1'!H7+'2'!H7+'3'!H7+'4'!H7+'5'!H7+'6'!H7+'7'!H7)/7</f>
        <v>1.9136460554370998E-2</v>
      </c>
      <c r="I7" s="19">
        <f>('1'!I7+'2'!I7+'3'!I7+'4'!I7+'5'!I7+'6'!I7+'7'!I7)/7</f>
        <v>0.44367909305655473</v>
      </c>
      <c r="J7" s="19">
        <f>('1'!J7+'2'!J7+'3'!J7+'4'!J7+'5'!J7+'6'!J7+'7'!J7)/7</f>
        <v>0</v>
      </c>
      <c r="K7" s="19">
        <f>('1'!K7+'2'!K7+'3'!K7+'4'!K7+'5'!K7+'6'!K7+'7'!K7)/7</f>
        <v>0</v>
      </c>
      <c r="L7" s="19">
        <f>('1'!L7+'2'!L7+'3'!L7+'4'!L7+'5'!L7+'6'!L7+'7'!L7)/7</f>
        <v>2.9031660251191783E-2</v>
      </c>
      <c r="M7" s="19">
        <f>('1'!M7+'2'!M7+'3'!M7+'4'!M7+'5'!M7+'6'!M7+'7'!M7)/7</f>
        <v>9.5424885225065356E-2</v>
      </c>
      <c r="N7" s="19">
        <f>('1'!N7+'2'!N7+'3'!N7+'4'!N7+'5'!N7+'6'!N7+'7'!N7)/7</f>
        <v>0.42821649444604987</v>
      </c>
      <c r="O7" s="19">
        <f>('1'!O7+'2'!O7+'3'!O7+'4'!Q7+'5'!O7+'6'!O7+'7'!O7)/7</f>
        <v>0.47198485186823069</v>
      </c>
      <c r="P7" s="19">
        <f>('1'!P7+'2'!P7+'3'!P7+'4'!P7+'5'!P7+'6'!P7+'7'!P7)/7</f>
        <v>0</v>
      </c>
      <c r="Q7" s="19">
        <f>('1'!Q7+'2'!Q7+'3'!Q7+'4'!Q7+'5'!Q7+'6'!Q7+'7'!Q7)/7</f>
        <v>0.21488252586060094</v>
      </c>
      <c r="R7" s="19">
        <f>('1'!R7+'2'!R7+'3'!R7+'4'!R7+'5'!R7+'6'!R7+'7'!R7)/7</f>
        <v>1.5909090909090762E-2</v>
      </c>
      <c r="S7" s="19">
        <f>('1'!S7+'2'!S7+'3'!S7+'4'!S7+'5'!S7+'6'!S7+'7'!S7)/7</f>
        <v>1.4285714285714341E-2</v>
      </c>
      <c r="T7" s="81">
        <f>('1'!T7+'2'!T7+'3'!T7+'4'!T7+'5'!T7+'6'!T7+'7'!T7)/7</f>
        <v>0.37879416312052777</v>
      </c>
    </row>
    <row r="8" spans="1:40" ht="15.75" thickBot="1">
      <c r="B8" s="11" t="s">
        <v>2</v>
      </c>
      <c r="C8" s="19">
        <f>('1'!C8+'2'!C8+'3'!C8+'4'!C8+'5'!C8+'6'!C8+'7'!C8)/7</f>
        <v>0.8997603178725766</v>
      </c>
      <c r="D8" s="19">
        <f>('1'!D8+'2'!D8+'3'!D8+'4'!D8+'5'!D8+'6'!D8+'7'!D8)/7</f>
        <v>0</v>
      </c>
      <c r="E8" s="19">
        <f>('1'!E8+'2'!E8+'3'!E8+'4'!E8+'5'!E8+'6'!E8+'7'!E8)/7</f>
        <v>2.2138089459084666E-2</v>
      </c>
      <c r="F8" s="19">
        <f>('1'!F8+'2'!F8+'3'!F8+'4'!F8+'5'!F8+'6'!F8+'7'!F8)/7</f>
        <v>1.2258946545363887E-2</v>
      </c>
      <c r="G8" s="19">
        <f>('1'!G8+'2'!G8+'3'!G8+'4'!G8+'5'!G8+'6'!G8+'7'!G8)/7</f>
        <v>3.8592750533049051E-2</v>
      </c>
      <c r="H8" s="19">
        <f>('1'!H8+'2'!H8+'3'!H8+'4'!H8+'5'!H8+'6'!H8+'7'!H8)/7</f>
        <v>2.6583412794729571E-2</v>
      </c>
      <c r="I8" s="19">
        <f>('1'!I8+'2'!I8+'3'!I8+'4'!I8+'5'!I8+'6'!I8+'7'!I8)/7</f>
        <v>0.82054953417281185</v>
      </c>
      <c r="J8" s="19">
        <f>('1'!J8+'2'!J8+'3'!J8+'4'!J8+'5'!J8+'6'!J8+'7'!J8)/7</f>
        <v>0</v>
      </c>
      <c r="K8" s="19">
        <f>('1'!K8+'2'!K8+'3'!K8+'4'!K8+'5'!K8+'6'!K8+'7'!K8)/7</f>
        <v>5.5555555555555991E-3</v>
      </c>
      <c r="L8" s="19">
        <f>('1'!L8+'2'!L8+'3'!L8+'4'!L8+'5'!L8+'6'!L8+'7'!L8)/7</f>
        <v>1.6560918166479154E-2</v>
      </c>
      <c r="M8" s="19">
        <f>('1'!M8+'2'!M8+'3'!M8+'4'!M8+'5'!M8+'6'!M8+'7'!M8)/7</f>
        <v>5.2275132275132231E-2</v>
      </c>
      <c r="N8" s="19">
        <f>('1'!N8+'2'!N8+'3'!N8+'4'!N8+'5'!N8+'6'!N8+'7'!N8)/7</f>
        <v>0.10395307729390964</v>
      </c>
      <c r="O8" s="19">
        <f>('1'!O8+'2'!O8+'3'!O8+'4'!O8+'5'!O8+'6'!O8+'7'!O8)/7</f>
        <v>0.83352214419619897</v>
      </c>
      <c r="P8" s="19">
        <f>('1'!P8+'2'!P8+'3'!P8+'4'!P8+'5'!P8+'6'!P8+'7'!P8)/7</f>
        <v>0</v>
      </c>
      <c r="Q8" s="19">
        <f>('1'!Q8+'2'!Q8+'3'!Q8+'4'!Q8+'5'!Q8+'6'!Q8+'7'!Q8)/7</f>
        <v>3.4358047016275053E-2</v>
      </c>
      <c r="R8" s="19">
        <f>('1'!R8+'2'!R8+'3'!R8+'4'!R8+'5'!R8+'6'!R8+'7'!R8)/7</f>
        <v>5.5331220863679163E-2</v>
      </c>
      <c r="S8" s="19">
        <f>('1'!S8+'2'!S8+'3'!S8+'4'!S8+'5'!S8+'6'!S8+'7'!S8)/7</f>
        <v>2.6326530612244801E-2</v>
      </c>
      <c r="T8" s="81">
        <f>('1'!T8+'2'!T8+'3'!T8+'4'!T8+'5'!T8+'6'!T8+'7'!T8)/7</f>
        <v>4.8648738324734257E-2</v>
      </c>
    </row>
    <row r="9" spans="1:40" ht="15.75" thickBot="1">
      <c r="B9" s="11" t="s">
        <v>3</v>
      </c>
      <c r="C9" s="19">
        <f>('1'!C9+'2'!C9+'3'!C9+'4'!C9+'5'!C9+'6'!C9+'7'!C9)/7</f>
        <v>0.74947198219772126</v>
      </c>
      <c r="D9" s="19">
        <f>('1'!D9+'2'!D9+'3'!D9+'4'!D9+'5'!D9+'6'!D9+'7'!D9)/7</f>
        <v>0</v>
      </c>
      <c r="E9" s="19">
        <f>('1'!E9+'2'!E9+'3'!E9+'4'!E9+'5'!E9+'6'!E9+'7'!E9)/7</f>
        <v>1.6509832505449833E-2</v>
      </c>
      <c r="F9" s="19">
        <f>('1'!F9+'2'!F9+'3'!F9+'4'!F9+'5'!F9+'6'!F9+'7'!F9)/7</f>
        <v>2.7786522225134391E-2</v>
      </c>
      <c r="G9" s="19">
        <f>('1'!G9+'2'!G9+'3'!G9+'4'!G9+'5'!G9+'6'!G9+'7'!G9)/7</f>
        <v>0.1055153632347384</v>
      </c>
      <c r="H9" s="19">
        <f>('1'!H9+'2'!H9+'3'!H9+'4'!H9+'5'!H9+'6'!H9+'7'!H9)/7</f>
        <v>0.12350965394037731</v>
      </c>
      <c r="I9" s="19">
        <f>('1'!I9+'2'!I9+'3'!I9+'4'!I9+'5'!I9+'6'!I9+'7'!I9)/7</f>
        <v>0.66469353095568928</v>
      </c>
      <c r="J9" s="19">
        <f>('1'!J9+'2'!J9+'3'!J9+'4'!J9+'5'!J9+'6'!J9+'7'!J9)/7</f>
        <v>0</v>
      </c>
      <c r="K9" s="19">
        <f>('1'!K9+'2'!K9+'3'!K9+'4'!K9+'5'!K9+'6'!K9+'7'!K9)/7</f>
        <v>5.5118110236219917E-3</v>
      </c>
      <c r="L9" s="19">
        <f>('1'!L9+'2'!L9+'3'!L9+'4'!L9+'5'!L9+'6'!L9+'7'!L9)/7</f>
        <v>2.624338624338626E-2</v>
      </c>
      <c r="M9" s="19">
        <f>('1'!M9+'2'!M9+'3'!M9+'4'!M9+'5'!M9+'6'!M9+'7'!M9)/7</f>
        <v>0.12290380369120522</v>
      </c>
      <c r="N9" s="19">
        <f>('1'!N9+'2'!N9+'3'!N9+'4'!N9+'5'!N9+'6'!N9+'7'!N9)/7</f>
        <v>0.17932562351274722</v>
      </c>
      <c r="O9" s="19">
        <f>('1'!O9+'2'!O9+'3'!O9+'4'!O9+'5'!O9+'6'!O9+'7'!O9)/7</f>
        <v>0.78571428571428548</v>
      </c>
      <c r="P9" s="19">
        <f>('1'!P9+'2'!P9+'3'!P9+'4'!P9+'5'!P9+'6'!P9+'7'!P9)/7</f>
        <v>0</v>
      </c>
      <c r="Q9" s="19">
        <f>('1'!Q9+'2'!Q9+'3'!Q9+'4'!Q9+'5'!Q9+'6'!Q9+'7'!Q9)/7</f>
        <v>0</v>
      </c>
      <c r="R9" s="19">
        <f>('1'!R9+'2'!R9+'3'!R9+'4'!R9+'5'!R9+'6'!R9+'7'!R9)/7</f>
        <v>0.11632653061224493</v>
      </c>
      <c r="S9" s="19">
        <f>('1'!S9+'2'!S9+'3'!S9+'4'!S9+'5'!S9+'6'!S9+'7'!S9)/7</f>
        <v>0</v>
      </c>
      <c r="T9" s="81">
        <f>('1'!T9+'2'!T9+'3'!T9+'4'!T9+'5'!T9+'6'!T9+'7'!T9)/7</f>
        <v>9.775510204081643E-2</v>
      </c>
    </row>
    <row r="10" spans="1:40" ht="15.75" thickBot="1">
      <c r="B10" s="11" t="s">
        <v>4</v>
      </c>
      <c r="C10" s="19">
        <f>('1'!C10+'2'!C10+'3'!C10+'4'!C10+'5'!C10+'6'!C10+'7'!C10)/7</f>
        <v>0.53780546466458579</v>
      </c>
      <c r="D10" s="19">
        <f>('1'!D10+'2'!D10+'3'!D10+'4'!D10+'5'!D10+'6'!D10+'7'!D10)/7</f>
        <v>3.3313705484725536E-2</v>
      </c>
      <c r="E10" s="19">
        <f>('1'!E10+'2'!E10+'3'!E10+'4'!E10+'5'!E10+'6'!E10+'7'!E10)/7</f>
        <v>3.5855067391099636E-2</v>
      </c>
      <c r="F10" s="19">
        <f>('1'!F10+'2'!F10+'3'!F10+'4'!F10+'5'!F10+'6'!F10+'7'!F10)/7</f>
        <v>1.377995011672853E-2</v>
      </c>
      <c r="G10" s="19">
        <f>('1'!G10+'2'!G10+'3'!G10+'4'!G10+'5'!G10+'6'!G10+'7'!G10)/7</f>
        <v>0.12458160937717863</v>
      </c>
      <c r="H10" s="19">
        <f>('1'!H10+'2'!H10+'3'!H10+'4'!H10+'5'!H10+'6'!H10+'7'!H10)/7</f>
        <v>0.25370833453410574</v>
      </c>
      <c r="I10" s="19">
        <f>('1'!I10+'2'!I10+'3'!I10+'4'!I10+'5'!I10+'6'!I10+'7'!I10)/7</f>
        <v>0.60402874844540277</v>
      </c>
      <c r="J10" s="19">
        <f>('1'!J10+'2'!J10+'3'!J10+'4'!J10+'5'!J10+'6'!J10+'7'!J10)/7</f>
        <v>0.10043521778559963</v>
      </c>
      <c r="K10" s="19">
        <f>('1'!K10+'2'!K10+'3'!K10+'4'!K10+'5'!K10+'6'!K10+'7'!K10)/7</f>
        <v>2.9307601828610166E-2</v>
      </c>
      <c r="L10" s="19">
        <f>('1'!L10+'2'!L10+'3'!L10+'4'!L10+'5'!L10+'6'!L10+'7'!L10)/7</f>
        <v>8.3239595050619529E-3</v>
      </c>
      <c r="M10" s="19">
        <f>('1'!M10+'2'!M10+'3'!M10+'4'!M10+'5'!M10+'6'!M10+'7'!M10)/7</f>
        <v>2.6349206349206306E-2</v>
      </c>
      <c r="N10" s="19">
        <f>('1'!N10+'2'!N10+'3'!N10+'4'!N10+'5'!N10+'6'!N10+'7'!N10)/7</f>
        <v>0.2194341061837301</v>
      </c>
      <c r="O10" s="19">
        <f>('1'!O10+'2'!O10+'3'!O10+'4'!O10+'5'!O10+'6'!O10+'7'!O10)/7</f>
        <v>0.70524412296564187</v>
      </c>
      <c r="P10" s="19">
        <f>('1'!P10+'2'!P10+'3'!P10+'4'!P10+'5'!P10+'6'!P10+'7'!P10)/7</f>
        <v>2.8649205701063725E-2</v>
      </c>
      <c r="Q10" s="19">
        <f>('1'!Q10+'2'!Q10+'3'!Q10+'4'!Q10+'5'!Q10+'6'!Q10+'7'!Q10)/7</f>
        <v>2.3041474654377943E-2</v>
      </c>
      <c r="R10" s="19">
        <f>('1'!R10+'2'!R10+'3'!R10+'4'!R10+'5'!R10+'6'!R10+'7'!R10)/7</f>
        <v>5.9069962295768622E-2</v>
      </c>
      <c r="S10" s="19">
        <f>('1'!S10+'2'!S10+'3'!S10+'4'!S10+'5'!S10+'6'!S10+'7'!S10)/7</f>
        <v>0</v>
      </c>
      <c r="T10" s="81">
        <f>('1'!T10+'2'!T10+'3'!T10+'4'!T10+'5'!T10+'6'!T10+'7'!T10)/7</f>
        <v>0.18330889540566969</v>
      </c>
    </row>
    <row r="11" spans="1:40" ht="15.75" thickBot="1">
      <c r="B11" s="12" t="s">
        <v>5</v>
      </c>
      <c r="C11" s="19">
        <f>('1'!C11+'2'!C11+'3'!C11+'4'!C11+'5'!C11+'6'!C11+'7'!C11)/7</f>
        <v>0.73595578578359688</v>
      </c>
      <c r="D11" s="19">
        <f>('1'!D11+'2'!D11+'3'!D11+'4'!D11+'5'!D11+'6'!D11+'7'!D11)/7</f>
        <v>0</v>
      </c>
      <c r="E11" s="19">
        <f>('1'!E11+'2'!E11+'3'!E11+'4'!E11+'5'!E11+'6'!E11+'7'!E11)/7</f>
        <v>0</v>
      </c>
      <c r="F11" s="19">
        <f>('1'!F11+'2'!F11+'3'!F11+'4'!F11+'5'!F11+'6'!F11+'7'!F11)/7</f>
        <v>2.4631385173591338E-2</v>
      </c>
      <c r="G11" s="19">
        <f>('1'!G11+'2'!G11+'3'!G11+'4'!G11+'5'!G11+'6'!G11+'7'!G11)/7</f>
        <v>6.4966482616620982E-2</v>
      </c>
      <c r="H11" s="19">
        <f>('1'!H11+'2'!H11+'3'!H11+'4'!H11+'5'!H11+'6'!H11+'7'!H11)/7</f>
        <v>0.17047814885428134</v>
      </c>
      <c r="I11" s="19">
        <f>('1'!I11+'2'!I11+'3'!I11+'4'!I11+'5'!I11+'6'!I11+'7'!I11)/7</f>
        <v>0.78576993107849202</v>
      </c>
      <c r="J11" s="19">
        <f>('1'!J11+'2'!J11+'3'!J11+'4'!J11+'5'!J11+'6'!J11+'7'!J11)/7</f>
        <v>0</v>
      </c>
      <c r="K11" s="19">
        <f>('1'!K11+'2'!K11+'3'!K11+'4'!K11+'5'!K11+'6'!K11+'7'!K11)/7</f>
        <v>3.0776998299319791E-2</v>
      </c>
      <c r="L11" s="19">
        <f>('1'!L11+'2'!L11+'3'!L11+'4'!L11+'5'!L11+'6'!L11+'7'!L11)/7</f>
        <v>0</v>
      </c>
      <c r="M11" s="19">
        <f>('1'!M11+'2'!M11+'3'!M11+'4'!M11+'5'!M11+'6'!M11+'7'!M11)/7</f>
        <v>0</v>
      </c>
      <c r="N11" s="19">
        <f>('1'!N11+'2'!N11+'3'!N11+'4'!N11+'5'!N11+'6'!N11+'7'!N11)/7</f>
        <v>0.18203866584512587</v>
      </c>
      <c r="O11" s="19">
        <f>('1'!O11+'2'!O11+'3'!O11+'4'!O11+'5'!O11+'6'!O11+'7'!O11)/7</f>
        <v>1</v>
      </c>
      <c r="P11" s="19">
        <f>('1'!P11+'2'!P11+'3'!P11+'4'!P11+'5'!P11+'6'!P11+'7'!P11)/7</f>
        <v>0</v>
      </c>
      <c r="Q11" s="19">
        <f>('1'!Q11+'2'!Q11+'3'!Q11+'4'!Q11+'5'!Q11+'6'!Q11+'7'!Q11)/7</f>
        <v>0</v>
      </c>
      <c r="R11" s="19">
        <f>('1'!R11+'2'!R11+'3'!R11+'4'!R11+'5'!R11+'6'!R11+'7'!R11)/7</f>
        <v>0</v>
      </c>
      <c r="S11" s="19">
        <f>('1'!S11+'2'!S11+'3'!S11+'4'!S11+'5'!S11+'6'!S11+'7'!S11)/7</f>
        <v>0</v>
      </c>
      <c r="T11" s="81">
        <f>('1'!T11+'2'!T11+'3'!T11+'4'!T11+'5'!T11+'6'!T11+'7'!T11)/7</f>
        <v>0</v>
      </c>
    </row>
    <row r="12" spans="1:40" ht="15.75" thickBot="1">
      <c r="B12" s="15" t="s">
        <v>22</v>
      </c>
      <c r="C12" s="32" t="s">
        <v>23</v>
      </c>
      <c r="D12" s="33"/>
      <c r="E12" s="34" t="s">
        <v>24</v>
      </c>
      <c r="F12" s="33"/>
      <c r="G12" s="30" t="s">
        <v>21</v>
      </c>
      <c r="H12" s="33"/>
      <c r="I12" s="33" t="s">
        <v>23</v>
      </c>
      <c r="J12" s="33"/>
      <c r="K12" s="33" t="s">
        <v>24</v>
      </c>
      <c r="L12" s="33"/>
      <c r="M12" s="33" t="s">
        <v>21</v>
      </c>
      <c r="N12" s="33"/>
      <c r="O12" s="33" t="s">
        <v>23</v>
      </c>
      <c r="P12" s="33"/>
      <c r="Q12" s="33" t="s">
        <v>24</v>
      </c>
      <c r="R12" s="33"/>
      <c r="S12" s="33" t="s">
        <v>21</v>
      </c>
      <c r="T12" s="18"/>
    </row>
    <row r="14" spans="1:40" ht="15.75" thickBot="1">
      <c r="B14" s="41" t="s">
        <v>43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20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28</v>
      </c>
      <c r="W15" s="85" t="s">
        <v>20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 ht="15.75" thickBot="1">
      <c r="B18" s="11" t="s">
        <v>7</v>
      </c>
      <c r="C18" s="19">
        <f>('1'!C18+'2'!C18+'3'!C18+'4'!C18+'5'!C18+'6'!C18+'7'!C18)/$C$24</f>
        <v>8.1395348837209308E-2</v>
      </c>
      <c r="D18" s="19">
        <f>('1'!D18+'2'!D18+'3'!D18+'4'!D18+'5'!D18+'6'!D18+'7'!D18)/$C$24</f>
        <v>3.4883720930232558E-2</v>
      </c>
      <c r="E18" s="19">
        <f>('1'!E18+'2'!E18+'3'!E18+'4'!E18+'5'!E18+'6'!E18+'7'!E18)/$C$24</f>
        <v>1.1627906976744186E-2</v>
      </c>
      <c r="F18" s="19">
        <f>('1'!F18+'2'!F18+'3'!F18+'4'!F18+'5'!F18+'6'!F18+'7'!F18)/$C$24</f>
        <v>0</v>
      </c>
      <c r="G18" s="19">
        <f>('1'!G18+'2'!G18+'3'!G18+'4'!G18+'5'!G18+'6'!G18+'7'!G18)/$C$24</f>
        <v>0</v>
      </c>
      <c r="H18" s="19">
        <f>('1'!H18+'2'!H18+'3'!H18+'4'!H18+'5'!H18+'6'!H18+'7'!H18)/$C$24</f>
        <v>5.8139534883720929E-2</v>
      </c>
      <c r="I18" s="19">
        <f>('1'!I18+'2'!I18+'3'!I18+'4'!I18+'5'!I18+'6'!I18+'7'!I18)/$I$24</f>
        <v>8.9743589743589744E-2</v>
      </c>
      <c r="J18" s="19">
        <f>('1'!J18+'2'!J18+'3'!J18+'4'!J18+'5'!J18+'6'!J18+'7'!J18)/$I$24</f>
        <v>5.128205128205128E-2</v>
      </c>
      <c r="K18" s="19">
        <f>('1'!K18+'2'!K18+'3'!K18+'4'!K18+'5'!K18+'6'!K18+'7'!K18)/$I$24</f>
        <v>1.282051282051282E-2</v>
      </c>
      <c r="L18" s="19">
        <f>('1'!L18+'2'!L18+'3'!L18+'4'!L18+'5'!L18+'6'!L18+'7'!L18)/$I$24</f>
        <v>0</v>
      </c>
      <c r="M18" s="19">
        <f>('1'!M18+'2'!M18+'3'!M18+'4'!M18+'5'!M18+'6'!M18+'7'!M18)/$I$24</f>
        <v>2.564102564102564E-2</v>
      </c>
      <c r="N18" s="19">
        <f>('1'!N18+'2'!N18+'3'!N18+'4'!N18+'5'!N18+'6'!N18+'7'!N18)/$I$24</f>
        <v>0</v>
      </c>
      <c r="O18" s="19">
        <f>('1'!O18+'2'!O18+'3'!O18+'4'!O18+'5'!O18+'6'!O18+'7'!O18)/$O$24</f>
        <v>0.15217391304347827</v>
      </c>
      <c r="P18" s="19">
        <f>('1'!P18+'2'!P18+'3'!P18+'4'!P18+'5'!P18+'6'!P18+'7'!P18)/$O$24</f>
        <v>0</v>
      </c>
      <c r="Q18" s="19">
        <f>('1'!Q18+'2'!Q18+'3'!Q18+'4'!Q18+'5'!Q18+'6'!Q18+'7'!Q18)/$O$24</f>
        <v>0</v>
      </c>
      <c r="R18" s="19">
        <f>('1'!R18+'2'!R18+'3'!R18+'4'!R18+'5'!R18+'6'!R18+'7'!R18)/$O$24</f>
        <v>0</v>
      </c>
      <c r="S18" s="19">
        <f>('1'!S18+'2'!S18+'3'!S18+'4'!S18+'5'!S18+'6'!S18+'7'!S18)/$O$24</f>
        <v>0</v>
      </c>
      <c r="T18" s="81">
        <f>('1'!T18+'2'!T18+'3'!T18+'4'!T18+'5'!T18+'6'!T18+'7'!T18)/$O$24</f>
        <v>4.3478260869565216E-2</v>
      </c>
      <c r="V18" s="11" t="s">
        <v>7</v>
      </c>
      <c r="W18" s="19">
        <f>('1'!W18+'2'!W18+'3'!W18+'4'!W18+'5'!W18+'6'!W18+'7'!W18)/$W$24</f>
        <v>7.6086956521739135E-2</v>
      </c>
      <c r="X18" s="19">
        <f>('1'!X18+'2'!X18+'3'!X18+'4'!X18+'5'!X18+'6'!X18+'7'!X18)/$W$24</f>
        <v>0</v>
      </c>
      <c r="Y18" s="19">
        <f>('1'!Y18+'2'!Y18+'3'!Y18+'4'!Y18+'5'!Y18+'6'!Y18+'7'!Y18)/$W$24</f>
        <v>0</v>
      </c>
      <c r="Z18" s="19">
        <f>('1'!Z18+'2'!Z18+'3'!Z18+'4'!Z18+'5'!Z18+'6'!Z18+'7'!Z18)/$W$24</f>
        <v>7.6086956521739135E-2</v>
      </c>
      <c r="AA18" s="19">
        <f>('1'!AA18+'2'!AA18+'3'!AA18+'4'!AA18+'5'!AA18+'6'!AA18+'7'!AA18)/$W$24</f>
        <v>3.2608695652173912E-2</v>
      </c>
      <c r="AB18" s="19">
        <f>('1'!AB18+'2'!AB18+'3'!AB18+'4'!AB18+'5'!AB18+'6'!AB18+'7'!AB18)/$W$24</f>
        <v>3.2608695652173912E-2</v>
      </c>
      <c r="AC18" s="19">
        <f>('1'!AC18+'2'!AC18+'3'!AC18+'4'!AC18+'5'!AC18+'6'!AC18+'7'!AC18)/$AC$24</f>
        <v>0.125</v>
      </c>
      <c r="AD18" s="19">
        <f>('1'!AD18+'2'!AD18+'3'!AD18+'4'!AD18+'5'!AD18+'6'!AD18+'7'!AD18)/$AC$24</f>
        <v>0</v>
      </c>
      <c r="AE18" s="19">
        <f>('1'!AE18+'2'!AE18+'3'!AE18+'4'!AE18+'5'!AE18+'6'!AE18+'7'!AE18)/$AC$24</f>
        <v>0</v>
      </c>
      <c r="AF18" s="19">
        <f>('1'!AF18+'2'!AF18+'3'!AF18+'4'!AF18+'5'!AF18+'6'!AF18+'7'!AF18)/$AC$24</f>
        <v>1.7857142857142856E-2</v>
      </c>
      <c r="AG18" s="19">
        <f>('1'!AG18+'2'!AG18+'3'!AG18+'4'!AG18+'5'!AG18+'6'!AG18+'7'!AG18)/$AC$24</f>
        <v>1.7857142857142856E-2</v>
      </c>
      <c r="AH18" s="19">
        <f>('1'!AH18+'2'!AH18+'3'!AH18+'4'!AH18+'5'!AH18+'6'!AH18+'7'!AH18)/$AC$24</f>
        <v>1.7857142857142856E-2</v>
      </c>
      <c r="AI18" s="19">
        <f>('1'!AI18+'2'!AI18+'3'!AI18+'4'!AI18+'5'!AI18+'6'!AI18+'7'!AI18)/$AI$24</f>
        <v>0.15555555555555556</v>
      </c>
      <c r="AJ18" s="19">
        <f>('1'!AJ18+'2'!AJ18+'3'!AJ18+'4'!AJ18+'5'!AJ18+'6'!AJ18+'7'!AJ18)/$AI$24</f>
        <v>0</v>
      </c>
      <c r="AK18" s="19">
        <f>('1'!AK18+'2'!AK18+'3'!AK18+'4'!AK18+'5'!AK18+'6'!AK18+'7'!AK18)/$AI$24</f>
        <v>0</v>
      </c>
      <c r="AL18" s="19">
        <f>('1'!AL18+'2'!AL18+'3'!AL18+'4'!AL18+'5'!AL18+'6'!AL18+'7'!AL18)/$AI$24</f>
        <v>0</v>
      </c>
      <c r="AM18" s="19">
        <f>('1'!AM18+'2'!AM18+'3'!AM18+'4'!AM18+'5'!AM18+'6'!AM18+'7'!AM18)/$AI$24</f>
        <v>0</v>
      </c>
      <c r="AN18" s="81">
        <f>('1'!AN18+'2'!AN18+'3'!AN18+'4'!AN18+'5'!AN18+'6'!AN18+'7'!AN18)/$AI$24</f>
        <v>4.4444444444444446E-2</v>
      </c>
    </row>
    <row r="19" spans="2:40" ht="15.75" thickBot="1">
      <c r="B19" s="11" t="s">
        <v>8</v>
      </c>
      <c r="C19" s="19">
        <f>('1'!C19+'2'!C19+'3'!C19+'4'!C19+'5'!C19+'6'!C19+'7'!C19)/$C$24</f>
        <v>4.6511627906976744E-2</v>
      </c>
      <c r="D19" s="19">
        <f>('1'!D19+'2'!D19+'3'!D19+'4'!D19+'5'!D19+'6'!D19+'7'!D19)/$C$24</f>
        <v>8.1395348837209308E-2</v>
      </c>
      <c r="E19" s="19">
        <f>('1'!E19+'2'!E19+'3'!E19+'4'!E19+'5'!E19+'6'!E19+'7'!E19)/$C$24</f>
        <v>2.3255813953488372E-2</v>
      </c>
      <c r="F19" s="19">
        <f>('1'!F19+'2'!F19+'3'!F19+'4'!F19+'5'!F19+'6'!F19+'7'!F19)/$C$24</f>
        <v>2.3255813953488372E-2</v>
      </c>
      <c r="G19" s="19">
        <f>('1'!G19+'2'!G19+'3'!G19+'4'!G19+'5'!G19+'6'!G19+'7'!G19)/$C$24</f>
        <v>1.1627906976744186E-2</v>
      </c>
      <c r="H19" s="19">
        <f>('1'!H19+'2'!H19+'3'!H19+'4'!H19+'5'!H19+'6'!H19+'7'!H19)/$C$24</f>
        <v>0</v>
      </c>
      <c r="I19" s="19">
        <f>('1'!I19+'2'!I19+'3'!I19+'4'!I19+'5'!I19+'6'!I19+'7'!I19)/$I$24</f>
        <v>3.8461538461538464E-2</v>
      </c>
      <c r="J19" s="19">
        <f>('1'!J19+'2'!J19+'3'!J19+'4'!J19+'5'!J19+'6'!J19+'7'!J19)/$I$24</f>
        <v>8.9743589743589744E-2</v>
      </c>
      <c r="K19" s="19">
        <f>('1'!K19+'2'!K19+'3'!K19+'4'!K19+'5'!K19+'6'!K19+'7'!K19)/$I$24</f>
        <v>0</v>
      </c>
      <c r="L19" s="19">
        <f>('1'!L19+'2'!L19+'3'!L19+'4'!L19+'5'!L19+'6'!L19+'7'!L19)/$I$24</f>
        <v>2.564102564102564E-2</v>
      </c>
      <c r="M19" s="19">
        <f>('1'!M19+'2'!M19+'3'!M19+'4'!M19+'5'!M19+'6'!M19+'7'!M19)/$I$24</f>
        <v>0</v>
      </c>
      <c r="N19" s="19">
        <f>('1'!N19+'2'!N19+'3'!N19+'4'!N19+'5'!N19+'6'!N19+'7'!N19)/$I$24</f>
        <v>7.6923076923076927E-2</v>
      </c>
      <c r="O19" s="19">
        <f>('1'!O19+'2'!O19+'3'!O19+'4'!O19+'5'!O19+'6'!O19+'7'!O19)/$O$24</f>
        <v>0</v>
      </c>
      <c r="P19" s="19">
        <f>('1'!P19+'2'!P19+'3'!P19+'4'!P19+'5'!P19+'6'!P19+'7'!P19)/$O$24</f>
        <v>0.15217391304347827</v>
      </c>
      <c r="Q19" s="19">
        <f>('1'!Q19+'2'!Q19+'3'!Q19+'4'!Q19+'5'!Q19+'6'!Q19+'7'!Q19)/$O$24</f>
        <v>0</v>
      </c>
      <c r="R19" s="19">
        <f>('1'!R19+'2'!R19+'3'!R19+'4'!R19+'5'!R19+'6'!R19+'7'!R19)/$O$24</f>
        <v>0</v>
      </c>
      <c r="S19" s="19">
        <f>('1'!S19+'2'!S19+'3'!S19+'4'!S19+'5'!S19+'6'!S19+'7'!S19)/$O$24</f>
        <v>0</v>
      </c>
      <c r="T19" s="81">
        <f>('1'!T19+'2'!T19+'3'!T19+'4'!T19+'5'!T19+'6'!T19+'7'!T19)/$O$24</f>
        <v>0</v>
      </c>
      <c r="V19" s="11" t="s">
        <v>8</v>
      </c>
      <c r="W19" s="19">
        <f>('1'!W19+'2'!W19+'3'!W19+'4'!W19+'5'!W19+'6'!W19+'7'!W19)/$W$24</f>
        <v>0</v>
      </c>
      <c r="X19" s="19">
        <f>('1'!X19+'2'!X19+'3'!X19+'4'!X19+'5'!X19+'6'!X19+'7'!X19)/$W$24</f>
        <v>7.6086956521739135E-2</v>
      </c>
      <c r="Y19" s="19">
        <f>('1'!Y19+'2'!Y19+'3'!Y19+'4'!Y19+'5'!Y19+'6'!Y19+'7'!Y19)/$W$24</f>
        <v>0</v>
      </c>
      <c r="Z19" s="19">
        <f>('1'!Z19+'2'!Z19+'3'!Z19+'4'!Z19+'5'!Z19+'6'!Z19+'7'!Z19)/$W$24</f>
        <v>0</v>
      </c>
      <c r="AA19" s="19">
        <f>('1'!AA19+'2'!AA19+'3'!AA19+'4'!AA19+'5'!AA19+'6'!AA19+'7'!AA19)/$W$24</f>
        <v>0</v>
      </c>
      <c r="AB19" s="19">
        <f>('1'!AB19+'2'!AB19+'3'!AB19+'4'!AB19+'5'!AB19+'6'!AB19+'7'!AB19)/$W$24</f>
        <v>0</v>
      </c>
      <c r="AC19" s="19">
        <f>('1'!AC19+'2'!AC19+'3'!AC19+'4'!AC19+'5'!AC19+'6'!AC19+'7'!AC19)/$AC$24</f>
        <v>0</v>
      </c>
      <c r="AD19" s="19">
        <f>('1'!AD19+'2'!AD19+'3'!AD19+'4'!AD19+'5'!AD19+'6'!AD19+'7'!AD19)/$AC$24</f>
        <v>0.125</v>
      </c>
      <c r="AE19" s="19">
        <f>('1'!AE19+'2'!AE19+'3'!AE19+'4'!AE19+'5'!AE19+'6'!AE19+'7'!AE19)/$AC$24</f>
        <v>0</v>
      </c>
      <c r="AF19" s="19">
        <f>('1'!AF19+'2'!AF19+'3'!AF19+'4'!AF19+'5'!AF19+'6'!AF19+'7'!AF19)/$AC$24</f>
        <v>0</v>
      </c>
      <c r="AG19" s="19">
        <f>('1'!AG19+'2'!AG19+'3'!AG19+'4'!AG19+'5'!AG19+'6'!AG19+'7'!AG19)/$AC$24</f>
        <v>0</v>
      </c>
      <c r="AH19" s="19">
        <f>('1'!AH19+'2'!AH19+'3'!AH19+'4'!AH19+'5'!AH19+'6'!AH19+'7'!AH19)/$AC$24</f>
        <v>0</v>
      </c>
      <c r="AI19" s="19">
        <f>('1'!AI19+'2'!AI19+'3'!AI19+'4'!AI19+'5'!AI19+'6'!AI19+'7'!AI19)/$AI$24</f>
        <v>0</v>
      </c>
      <c r="AJ19" s="19">
        <f>('1'!AJ19+'2'!AJ19+'3'!AJ19+'4'!AJ19+'5'!AJ19+'6'!AJ19+'7'!AJ19)/$AI$24</f>
        <v>0.15555555555555556</v>
      </c>
      <c r="AK19" s="19">
        <f>('1'!AK19+'2'!AK19+'3'!AK19+'4'!AK19+'5'!AK19+'6'!AK19+'7'!AK19)/$AI$24</f>
        <v>0</v>
      </c>
      <c r="AL19" s="19">
        <f>('1'!AL19+'2'!AL19+'3'!AL19+'4'!AL19+'5'!AL19+'6'!AL19+'7'!AL19)/$AI$24</f>
        <v>0</v>
      </c>
      <c r="AM19" s="19">
        <f>('1'!AM19+'2'!AM19+'3'!AM19+'4'!AM19+'5'!AM19+'6'!AM19+'7'!AM19)/$AI$24</f>
        <v>0</v>
      </c>
      <c r="AN19" s="81">
        <f>('1'!AN19+'2'!AN19+'3'!AN19+'4'!AN19+'5'!AN19+'6'!AN19+'7'!AN19)/$AI$24</f>
        <v>0</v>
      </c>
    </row>
    <row r="20" spans="2:40" ht="15.75" thickBot="1">
      <c r="B20" s="11" t="s">
        <v>9</v>
      </c>
      <c r="C20" s="19">
        <f>('1'!C20+'2'!C20+'3'!C20+'4'!C20+'5'!C20+'6'!C20+'7'!C20)/$C$24</f>
        <v>1.1627906976744186E-2</v>
      </c>
      <c r="D20" s="19">
        <f>('1'!D20+'2'!D20+'3'!D20+'4'!D20+'5'!D20+'6'!D20+'7'!D20)/$C$24</f>
        <v>1.1627906976744186E-2</v>
      </c>
      <c r="E20" s="19">
        <f>('1'!E20+'2'!E20+'3'!E20+'4'!E20+'5'!E20+'6'!E20+'7'!E20)/$C$24</f>
        <v>8.1395348837209308E-2</v>
      </c>
      <c r="F20" s="19">
        <f>('1'!F20+'2'!F20+'3'!F20+'4'!F20+'5'!F20+'6'!F20+'7'!F20)/$C$24</f>
        <v>0</v>
      </c>
      <c r="G20" s="19">
        <f>('1'!G20+'2'!G20+'3'!G20+'4'!G20+'5'!G20+'6'!G20+'7'!G20)/$C$24</f>
        <v>0</v>
      </c>
      <c r="H20" s="19">
        <f>('1'!H20+'2'!H20+'3'!H20+'4'!H20+'5'!H20+'6'!H20+'7'!H20)/$C$24</f>
        <v>5.8139534883720929E-2</v>
      </c>
      <c r="I20" s="19">
        <f>('1'!I20+'2'!I20+'3'!I20+'4'!I20+'5'!I20+'6'!I20+'7'!I20)/$I$24</f>
        <v>0</v>
      </c>
      <c r="J20" s="19">
        <f>('1'!J20+'2'!J20+'3'!J20+'4'!J20+'5'!J20+'6'!J20+'7'!J20)/$I$24</f>
        <v>0</v>
      </c>
      <c r="K20" s="19">
        <f>('1'!K20+'2'!K20+'3'!K20+'4'!K20+'5'!K20+'6'!K20+'7'!K20)/$I$24</f>
        <v>8.9743589743589744E-2</v>
      </c>
      <c r="L20" s="19">
        <f>('1'!L20+'2'!L20+'3'!L20+'4'!L20+'5'!L20+'6'!L20+'7'!L20)/$I$24</f>
        <v>0</v>
      </c>
      <c r="M20" s="19">
        <f>('1'!M20+'2'!M20+'3'!M20+'4'!M20+'5'!M20+'6'!M20+'7'!M20)/$I$24</f>
        <v>1.282051282051282E-2</v>
      </c>
      <c r="N20" s="19">
        <f>('1'!N20+'2'!N20+'3'!N20+'4'!N20+'5'!N20+'6'!N20+'7'!N20)/$I$24</f>
        <v>2.564102564102564E-2</v>
      </c>
      <c r="O20" s="19">
        <f>('1'!O20+'2'!O20+'3'!O20+'4'!O20+'5'!O20+'6'!O20+'7'!O20)/$O$24</f>
        <v>0</v>
      </c>
      <c r="P20" s="19">
        <f>('1'!P20+'2'!P20+'3'!P20+'4'!P20+'5'!P20+'6'!P20+'7'!P20)/$O$24</f>
        <v>0</v>
      </c>
      <c r="Q20" s="19">
        <f>('1'!Q20+'2'!Q20+'3'!Q20+'4'!Q20+'5'!Q20+'6'!Q20+'7'!Q20)/$O$24</f>
        <v>0.15217391304347827</v>
      </c>
      <c r="R20" s="19">
        <f>('1'!R20+'2'!R20+'3'!R20+'4'!R20+'5'!R20+'6'!R20+'7'!R20)/$O$24</f>
        <v>0</v>
      </c>
      <c r="S20" s="19">
        <f>('1'!S20+'2'!S20+'3'!S20+'4'!S20+'5'!S20+'6'!S20+'7'!S20)/$O$24</f>
        <v>0</v>
      </c>
      <c r="T20" s="81">
        <f>('1'!T20+'2'!T20+'3'!T20+'4'!T20+'5'!T20+'6'!T20+'7'!T20)/$O$24</f>
        <v>0</v>
      </c>
      <c r="V20" s="11" t="s">
        <v>9</v>
      </c>
      <c r="W20" s="19">
        <f>('1'!W20+'2'!W20+'3'!W20+'4'!W20+'5'!W20+'6'!W20+'7'!W20)/$W$24</f>
        <v>0</v>
      </c>
      <c r="X20" s="19">
        <f>('1'!X20+'2'!X20+'3'!X20+'4'!X20+'5'!X20+'6'!X20+'7'!X20)/$W$24</f>
        <v>0</v>
      </c>
      <c r="Y20" s="19">
        <f>('1'!Y20+'2'!Y20+'3'!Y20+'4'!Y20+'5'!Y20+'6'!Y20+'7'!Y20)/$W$24</f>
        <v>7.6086956521739135E-2</v>
      </c>
      <c r="Z20" s="19">
        <f>('1'!Z20+'2'!Z20+'3'!Z20+'4'!Z20+'5'!Z20+'6'!Z20+'7'!Z20)/$W$24</f>
        <v>0</v>
      </c>
      <c r="AA20" s="19">
        <f>('1'!AA20+'2'!AA20+'3'!AA20+'4'!AA20+'5'!AA20+'6'!AA20+'7'!AA20)/$W$24</f>
        <v>1.0869565217391304E-2</v>
      </c>
      <c r="AB20" s="19">
        <f>('1'!AB20+'2'!AB20+'3'!AB20+'4'!AB20+'5'!AB20+'6'!AB20+'7'!AB20)/$W$24</f>
        <v>5.434782608695652E-2</v>
      </c>
      <c r="AC20" s="19">
        <f>('1'!AC20+'2'!AC20+'3'!AC20+'4'!AC20+'5'!AC20+'6'!AC20+'7'!AC20)/$AC$24</f>
        <v>0</v>
      </c>
      <c r="AD20" s="19">
        <f>('1'!AD20+'2'!AD20+'3'!AD20+'4'!AD20+'5'!AD20+'6'!AD20+'7'!AD20)/$AC$24</f>
        <v>0</v>
      </c>
      <c r="AE20" s="19">
        <f>('1'!AE20+'2'!AE20+'3'!AE20+'4'!AE20+'5'!AE20+'6'!AE20+'7'!AE20)/$AC$24</f>
        <v>0.125</v>
      </c>
      <c r="AF20" s="19">
        <f>('1'!AF20+'2'!AF20+'3'!AF20+'4'!AF20+'5'!AF20+'6'!AF20+'7'!AF20)/$AC$24</f>
        <v>0</v>
      </c>
      <c r="AG20" s="19">
        <f>('1'!AG20+'2'!AG20+'3'!AG20+'4'!AG20+'5'!AG20+'6'!AG20+'7'!AG20)/$AC$24</f>
        <v>1.7857142857142856E-2</v>
      </c>
      <c r="AH20" s="19">
        <f>('1'!AH20+'2'!AH20+'3'!AH20+'4'!AH20+'5'!AH20+'6'!AH20+'7'!AH20)/$AC$24</f>
        <v>0</v>
      </c>
      <c r="AI20" s="19">
        <f>('1'!AI20+'2'!AI20+'3'!AI20+'4'!AI20+'5'!AI20+'6'!AI20+'7'!AI20)/$AI$24</f>
        <v>0</v>
      </c>
      <c r="AJ20" s="19">
        <f>('1'!AJ20+'2'!AJ20+'3'!AJ20+'4'!AJ20+'5'!AJ20+'6'!AJ20+'7'!AJ20)/$AI$24</f>
        <v>0</v>
      </c>
      <c r="AK20" s="19">
        <f>('1'!AK20+'2'!AK20+'3'!AK20+'4'!AK20+'5'!AK20+'6'!AK20+'7'!AK20)/$AI$24</f>
        <v>0.15555555555555556</v>
      </c>
      <c r="AL20" s="19">
        <f>('1'!AL20+'2'!AL20+'3'!AL20+'4'!AL20+'5'!AL20+'6'!AL20+'7'!AL20)/$AI$24</f>
        <v>0</v>
      </c>
      <c r="AM20" s="19">
        <f>('1'!AM20+'2'!AM20+'3'!AM20+'4'!AM20+'5'!AM20+'6'!AM20+'7'!AM20)/$AI$24</f>
        <v>0</v>
      </c>
      <c r="AN20" s="81">
        <f>('1'!AN20+'2'!AN20+'3'!AN20+'4'!AN20+'5'!AN20+'6'!AN20+'7'!AN20)/$AI$24</f>
        <v>0</v>
      </c>
    </row>
    <row r="21" spans="2:40" ht="15.75" thickBot="1">
      <c r="B21" s="11" t="s">
        <v>10</v>
      </c>
      <c r="C21" s="19">
        <f>('1'!C21+'2'!C21+'3'!C21+'4'!C21+'5'!C21+'6'!C21+'7'!C21)/$C$24</f>
        <v>0</v>
      </c>
      <c r="D21" s="19">
        <f>('1'!D21+'2'!D21+'3'!D21+'4'!D21+'5'!D21+'6'!D21+'7'!D21)/$C$24</f>
        <v>1.1627906976744186E-2</v>
      </c>
      <c r="E21" s="19">
        <f>('1'!E21+'2'!E21+'3'!E21+'4'!E21+'5'!E21+'6'!E21+'7'!E21)/$C$24</f>
        <v>0</v>
      </c>
      <c r="F21" s="19">
        <f>('1'!F21+'2'!F21+'3'!F21+'4'!F21+'5'!F21+'6'!F21+'7'!F21)/$C$24</f>
        <v>8.1395348837209308E-2</v>
      </c>
      <c r="G21" s="19">
        <f>('1'!G21+'2'!G21+'3'!G21+'4'!G21+'5'!G21+'6'!G21+'7'!G21)/$C$24</f>
        <v>1.1627906976744186E-2</v>
      </c>
      <c r="H21" s="19">
        <f>('1'!H21+'2'!H21+'3'!H21+'4'!H21+'5'!H21+'6'!H21+'7'!H21)/$C$24</f>
        <v>3.4883720930232558E-2</v>
      </c>
      <c r="I21" s="19">
        <f>('1'!I21+'2'!I21+'3'!I21+'4'!I21+'5'!I21+'6'!I21+'7'!I21)/$I$24</f>
        <v>0</v>
      </c>
      <c r="J21" s="19">
        <f>('1'!J21+'2'!J21+'3'!J21+'4'!J21+'5'!J21+'6'!J21+'7'!J21)/$I$24</f>
        <v>0</v>
      </c>
      <c r="K21" s="19">
        <f>('1'!K21+'2'!K21+'3'!K21+'4'!K21+'5'!K21+'6'!K21+'7'!K21)/$I$24</f>
        <v>0</v>
      </c>
      <c r="L21" s="19">
        <f>('1'!L21+'2'!L21+'3'!L21+'4'!L21+'5'!L21+'6'!L21+'7'!L21)/$I$24</f>
        <v>8.9743589743589744E-2</v>
      </c>
      <c r="M21" s="19">
        <f>('1'!M21+'2'!M21+'3'!M21+'4'!M21+'5'!M21+'6'!M21+'7'!M21)/$I$24</f>
        <v>0</v>
      </c>
      <c r="N21" s="19">
        <f>('1'!N21+'2'!N21+'3'!N21+'4'!N21+'5'!N21+'6'!N21+'7'!N21)/$I$24</f>
        <v>3.8461538461538464E-2</v>
      </c>
      <c r="O21" s="19">
        <f>('1'!O21+'2'!O21+'3'!O21+'4'!O21+'5'!O21+'6'!O21+'7'!O21)/$O$24</f>
        <v>0</v>
      </c>
      <c r="P21" s="19">
        <f>('1'!P21+'2'!P21+'3'!P21+'4'!P21+'5'!P21+'6'!P21+'7'!P21)/$O$24</f>
        <v>0</v>
      </c>
      <c r="Q21" s="19">
        <f>('1'!Q21+'2'!Q21+'3'!Q21+'4'!Q21+'5'!Q21+'6'!Q21+'7'!Q21)/$O$24</f>
        <v>0</v>
      </c>
      <c r="R21" s="19">
        <f>('1'!R21+'2'!R21+'3'!R21+'4'!R21+'5'!R21+'6'!R21+'7'!R21)/$O$24</f>
        <v>0.15217391304347827</v>
      </c>
      <c r="S21" s="19">
        <f>('1'!S21+'2'!S21+'3'!S21+'4'!S21+'5'!S21+'6'!S21+'7'!S21)/$O$24</f>
        <v>0</v>
      </c>
      <c r="T21" s="81">
        <f>('1'!T21+'2'!T21+'3'!T21+'4'!T21+'5'!T21+'6'!T21+'7'!T21)/$O$24</f>
        <v>0</v>
      </c>
      <c r="V21" s="11" t="s">
        <v>10</v>
      </c>
      <c r="W21" s="19">
        <f>('1'!W21+'2'!W21+'3'!W21+'4'!W21+'5'!W21+'6'!W21+'7'!W21)/$W$24</f>
        <v>0</v>
      </c>
      <c r="X21" s="19">
        <f>('1'!X21+'2'!X21+'3'!X21+'4'!X21+'5'!X21+'6'!X21+'7'!X21)/$W$24</f>
        <v>0</v>
      </c>
      <c r="Y21" s="19">
        <f>('1'!Y21+'2'!Y21+'3'!Y21+'4'!Y21+'5'!Y21+'6'!Y21+'7'!Y21)/$W$24</f>
        <v>1.0869565217391304E-2</v>
      </c>
      <c r="Z21" s="19">
        <f>('1'!Z21+'2'!Z21+'3'!Z21+'4'!Z21+'5'!Z21+'6'!Z21+'7'!Z21)/$W$24</f>
        <v>7.6086956521739135E-2</v>
      </c>
      <c r="AA21" s="19">
        <f>('1'!AA21+'2'!AA21+'3'!AA21+'4'!AA21+'5'!AA21+'6'!AA21+'7'!AA21)/$W$24</f>
        <v>0</v>
      </c>
      <c r="AB21" s="19">
        <f>('1'!AB21+'2'!AB21+'3'!AB21+'4'!AB21+'5'!AB21+'6'!AB21+'7'!AB21)/$W$24</f>
        <v>8.6956521739130432E-2</v>
      </c>
      <c r="AC21" s="19">
        <f>('1'!AC21+'2'!AC21+'3'!AC21+'4'!AC21+'5'!AC21+'6'!AC21+'7'!AC21)/$AC$24</f>
        <v>0</v>
      </c>
      <c r="AD21" s="19">
        <f>('1'!AD21+'2'!AD21+'3'!AD21+'4'!AD21+'5'!AD21+'6'!AD21+'7'!AD21)/$AC$24</f>
        <v>0</v>
      </c>
      <c r="AE21" s="19">
        <f>('1'!AE21+'2'!AE21+'3'!AE21+'4'!AE21+'5'!AE21+'6'!AE21+'7'!AE21)/$AC$24</f>
        <v>0</v>
      </c>
      <c r="AF21" s="19">
        <f>('1'!AF21+'2'!AF21+'3'!AF21+'4'!AF21+'5'!AF21+'6'!AF21+'7'!AF21)/$AC$24</f>
        <v>0.125</v>
      </c>
      <c r="AG21" s="19">
        <f>('1'!AG21+'2'!AG21+'3'!AG21+'4'!AG21+'5'!AG21+'6'!AG21+'7'!AG21)/$AC$24</f>
        <v>1.7857142857142856E-2</v>
      </c>
      <c r="AH21" s="19">
        <f>('1'!AH21+'2'!AH21+'3'!AH21+'4'!AH21+'5'!AH21+'6'!AH21+'7'!AH21)/$AC$24</f>
        <v>1.7857142857142856E-2</v>
      </c>
      <c r="AI21" s="19">
        <f>('1'!AI21+'2'!AI21+'3'!AI21+'4'!AI21+'5'!AI21+'6'!AI21+'7'!AI21)/$AI$24</f>
        <v>0</v>
      </c>
      <c r="AJ21" s="19">
        <f>('1'!AJ21+'2'!AJ21+'3'!AJ21+'4'!AJ21+'5'!AJ21+'6'!AJ21+'7'!AJ21)/$AI$24</f>
        <v>0</v>
      </c>
      <c r="AK21" s="19">
        <f>('1'!AK21+'2'!AK21+'3'!AK21+'4'!AK21+'5'!AK21+'6'!AK21+'7'!AK21)/$AI$24</f>
        <v>0</v>
      </c>
      <c r="AL21" s="19">
        <f>('1'!AL21+'2'!AL21+'3'!AL21+'4'!AL21+'5'!AL21+'6'!AL21+'7'!AL21)/$AI$24</f>
        <v>0.15555555555555556</v>
      </c>
      <c r="AM21" s="19">
        <f>('1'!AM21+'2'!AM21+'3'!AM21+'4'!AM21+'5'!AM21+'6'!AM21+'7'!AM21)/$AI$24</f>
        <v>0</v>
      </c>
      <c r="AN21" s="81">
        <f>('1'!AN21+'2'!AN21+'3'!AN21+'4'!AN21+'5'!AN21+'6'!AN21+'7'!AN21)/$AI$24</f>
        <v>2.2222222222222223E-2</v>
      </c>
    </row>
    <row r="22" spans="2:40" ht="15.75" thickBot="1">
      <c r="B22" s="11" t="s">
        <v>11</v>
      </c>
      <c r="C22" s="19">
        <f>('1'!C22+'2'!C22+'3'!C22+'4'!C22+'5'!C22+'6'!C22+'7'!C22)/$C$24</f>
        <v>2.3255813953488372E-2</v>
      </c>
      <c r="D22" s="19">
        <f>('1'!D22+'2'!D22+'3'!D22+'4'!D22+'5'!D22+'6'!D22+'7'!D22)/$C$24</f>
        <v>0</v>
      </c>
      <c r="E22" s="19">
        <f>('1'!E22+'2'!E22+'3'!E22+'4'!E22+'5'!E22+'6'!E22+'7'!E22)/$C$24</f>
        <v>1.1627906976744186E-2</v>
      </c>
      <c r="F22" s="19">
        <f>('1'!F22+'2'!F22+'3'!F22+'4'!F22+'5'!F22+'6'!F22+'7'!F22)/$C$24</f>
        <v>0</v>
      </c>
      <c r="G22" s="19">
        <f>('1'!G22+'2'!G22+'3'!G22+'4'!G22+'5'!G22+'6'!G22+'7'!G22)/$C$24</f>
        <v>8.1395348837209308E-2</v>
      </c>
      <c r="H22" s="19">
        <f>('1'!H22+'2'!H22+'3'!H22+'4'!H22+'5'!H22+'6'!H22+'7'!H22)/$C$24</f>
        <v>0</v>
      </c>
      <c r="I22" s="19">
        <f>('1'!I22+'2'!I22+'3'!I22+'4'!I22+'5'!I22+'6'!I22+'7'!I22)/$I$24</f>
        <v>0</v>
      </c>
      <c r="J22" s="19">
        <f>('1'!J22+'2'!J22+'3'!J22+'4'!J22+'5'!J22+'6'!J22+'7'!J22)/$I$24</f>
        <v>0</v>
      </c>
      <c r="K22" s="19">
        <f>('1'!K22+'2'!K22+'3'!K22+'4'!K22+'5'!K22+'6'!K22+'7'!K22)/$I$24</f>
        <v>1.282051282051282E-2</v>
      </c>
      <c r="L22" s="19">
        <f>('1'!L22+'2'!L22+'3'!L22+'4'!L22+'5'!L22+'6'!L22+'7'!L22)/$I$24</f>
        <v>0</v>
      </c>
      <c r="M22" s="19">
        <f>('1'!M22+'2'!M22+'3'!M22+'4'!M22+'5'!M22+'6'!M22+'7'!M22)/$I$24</f>
        <v>8.9743589743589744E-2</v>
      </c>
      <c r="N22" s="19">
        <f>('1'!N22+'2'!N22+'3'!N22+'4'!N22+'5'!N22+'6'!N22+'7'!N22)/$I$24</f>
        <v>1.282051282051282E-2</v>
      </c>
      <c r="O22" s="19">
        <f>('1'!O22+'2'!O22+'3'!O22+'4'!O22+'5'!O22+'6'!O22+'7'!O22)/$O$24</f>
        <v>0</v>
      </c>
      <c r="P22" s="19">
        <f>('1'!P22+'2'!P22+'3'!P22+'4'!P22+'5'!P22+'6'!P22+'7'!P22)/$O$24</f>
        <v>0</v>
      </c>
      <c r="Q22" s="19">
        <f>('1'!Q22+'2'!Q22+'3'!Q22+'4'!Q22+'5'!Q22+'6'!Q22+'7'!Q22)/$O$24</f>
        <v>0</v>
      </c>
      <c r="R22" s="19">
        <f>('1'!R22+'2'!R22+'3'!R22+'4'!R22+'5'!R22+'6'!R22+'7'!R22)/$O$24</f>
        <v>0</v>
      </c>
      <c r="S22" s="19">
        <f>('1'!S22+'2'!S22+'3'!S22+'4'!S22+'5'!S22+'6'!S22+'7'!S22)/$O$24</f>
        <v>0.15217391304347827</v>
      </c>
      <c r="T22" s="81">
        <f>('1'!T22+'2'!T22+'3'!T22+'4'!T22+'5'!T22+'6'!T22+'7'!T22)/$O$24</f>
        <v>0</v>
      </c>
      <c r="V22" s="11" t="s">
        <v>11</v>
      </c>
      <c r="W22" s="19">
        <f>('1'!W22+'2'!W22+'3'!W22+'4'!W22+'5'!W22+'6'!W22+'7'!W22)/$W$24</f>
        <v>4.3478260869565216E-2</v>
      </c>
      <c r="X22" s="19">
        <f>('1'!X22+'2'!X22+'3'!X22+'4'!X22+'5'!X22+'6'!X22+'7'!X22)/$W$24</f>
        <v>0</v>
      </c>
      <c r="Y22" s="19">
        <f>('1'!Y22+'2'!Y22+'3'!Y22+'4'!Y22+'5'!Y22+'6'!Y22+'7'!Y22)/$W$24</f>
        <v>0</v>
      </c>
      <c r="Z22" s="19">
        <f>('1'!Z22+'2'!Z22+'3'!Z22+'4'!Z22+'5'!Z22+'6'!Z22+'7'!Z22)/$W$24</f>
        <v>1.0869565217391304E-2</v>
      </c>
      <c r="AA22" s="19">
        <f>('1'!AA22+'2'!AA22+'3'!AA22+'4'!AA22+'5'!AA22+'6'!AA22+'7'!AA22)/$W$24</f>
        <v>7.6086956521739135E-2</v>
      </c>
      <c r="AB22" s="19">
        <f>('1'!AB22+'2'!AB22+'3'!AB22+'4'!AB22+'5'!AB22+'6'!AB22+'7'!AB22)/$W$24</f>
        <v>0</v>
      </c>
      <c r="AC22" s="19">
        <f>('1'!AC22+'2'!AC22+'3'!AC22+'4'!AC22+'5'!AC22+'6'!AC22+'7'!AC22)/$AC$24</f>
        <v>1.7857142857142856E-2</v>
      </c>
      <c r="AD22" s="19">
        <f>('1'!AD22+'2'!AD22+'3'!AD22+'4'!AD22+'5'!AD22+'6'!AD22+'7'!AD22)/$AC$24</f>
        <v>0</v>
      </c>
      <c r="AE22" s="19">
        <f>('1'!AE22+'2'!AE22+'3'!AE22+'4'!AE22+'5'!AE22+'6'!AE22+'7'!AE22)/$AC$24</f>
        <v>1.7857142857142856E-2</v>
      </c>
      <c r="AF22" s="19">
        <f>('1'!AF22+'2'!AF22+'3'!AF22+'4'!AF22+'5'!AF22+'6'!AF22+'7'!AF22)/$AC$24</f>
        <v>0</v>
      </c>
      <c r="AG22" s="19">
        <f>('1'!AG22+'2'!AG22+'3'!AG22+'4'!AG22+'5'!AG22+'6'!AG22+'7'!AG22)/$AC$24</f>
        <v>0.125</v>
      </c>
      <c r="AH22" s="19">
        <f>('1'!AH22+'2'!AH22+'3'!AH22+'4'!AH22+'5'!AH22+'6'!AH22+'7'!AH22)/$AC$24</f>
        <v>1.7857142857142856E-2</v>
      </c>
      <c r="AI22" s="19">
        <f>('1'!AI22+'2'!AI22+'3'!AI22+'4'!AI22+'5'!AI22+'6'!AI22+'7'!AI22)/$AI$24</f>
        <v>0</v>
      </c>
      <c r="AJ22" s="19">
        <f>('1'!AJ22+'2'!AJ22+'3'!AJ22+'4'!AJ22+'5'!AJ22+'6'!AJ22+'7'!AJ22)/$AI$24</f>
        <v>0</v>
      </c>
      <c r="AK22" s="19">
        <f>('1'!AK22+'2'!AK22+'3'!AK22+'4'!AK22+'5'!AK22+'6'!AK22+'7'!AK22)/$AI$24</f>
        <v>0</v>
      </c>
      <c r="AL22" s="19">
        <f>('1'!AL22+'2'!AL22+'3'!AL22+'4'!AL22+'5'!AL22+'6'!AL22+'7'!AL22)/$AI$24</f>
        <v>0</v>
      </c>
      <c r="AM22" s="19">
        <f>('1'!AM22+'2'!AM22+'3'!AM22+'4'!AM22+'5'!AM22+'6'!AM22+'7'!AM22)/$AI$24</f>
        <v>0.15555555555555556</v>
      </c>
      <c r="AN22" s="81">
        <f>('1'!AN22+'2'!AN22+'3'!AN22+'4'!AN22+'5'!AN22+'6'!AN22+'7'!AN22)/$AI$24</f>
        <v>0</v>
      </c>
    </row>
    <row r="23" spans="2:40" ht="15.75" thickBot="1">
      <c r="B23" s="12" t="s">
        <v>12</v>
      </c>
      <c r="C23" s="19">
        <f>('1'!C23+'2'!C23+'3'!C23+'4'!C23+'5'!C23+'6'!C23+'7'!C23)/$C$24</f>
        <v>3.4883720930232558E-2</v>
      </c>
      <c r="D23" s="19">
        <f>('1'!D23+'2'!D23+'3'!D23+'4'!D23+'5'!D23+'6'!D23+'7'!D23)/$C$24</f>
        <v>3.4883720930232558E-2</v>
      </c>
      <c r="E23" s="19">
        <f>('1'!E23+'2'!E23+'3'!E23+'4'!E23+'5'!E23+'6'!E23+'7'!E23)/$C$24</f>
        <v>2.3255813953488372E-2</v>
      </c>
      <c r="F23" s="19">
        <f>('1'!F23+'2'!F23+'3'!F23+'4'!F23+'5'!F23+'6'!F23+'7'!F23)/$C$24</f>
        <v>3.4883720930232558E-2</v>
      </c>
      <c r="G23" s="19">
        <f>('1'!G23+'2'!G23+'3'!G23+'4'!G23+'5'!G23+'6'!G23+'7'!G23)/$C$24</f>
        <v>0</v>
      </c>
      <c r="H23" s="19">
        <f>('1'!H23+'2'!H23+'3'!H23+'4'!H23+'5'!H23+'6'!H23+'7'!H23)/$C$24</f>
        <v>8.1395348837209308E-2</v>
      </c>
      <c r="I23" s="19">
        <f>('1'!I23+'2'!I23+'3'!I23+'4'!I23+'5'!I23+'6'!I23+'7'!I23)/$I$24</f>
        <v>1.282051282051282E-2</v>
      </c>
      <c r="J23" s="19">
        <f>('1'!J23+'2'!J23+'3'!J23+'4'!J23+'5'!J23+'6'!J23+'7'!J23)/$I$24</f>
        <v>7.6923076923076927E-2</v>
      </c>
      <c r="K23" s="19">
        <f>('1'!K23+'2'!K23+'3'!K23+'4'!K23+'5'!K23+'6'!K23+'7'!K23)/$I$24</f>
        <v>0</v>
      </c>
      <c r="L23" s="19">
        <f>('1'!L23+'2'!L23+'3'!L23+'4'!L23+'5'!L23+'6'!L23+'7'!L23)/$I$24</f>
        <v>3.8461538461538464E-2</v>
      </c>
      <c r="M23" s="19">
        <f>('1'!M23+'2'!M23+'3'!M23+'4'!M23+'5'!M23+'6'!M23+'7'!M23)/$I$24</f>
        <v>0</v>
      </c>
      <c r="N23" s="19">
        <f>('1'!N23+'2'!N23+'3'!N23+'4'!N23+'5'!N23+'6'!N23+'7'!N23)/$I$24</f>
        <v>8.9743589743589744E-2</v>
      </c>
      <c r="O23" s="19">
        <f>('1'!O23+'2'!O23+'3'!O23+'4'!O23+'5'!O23+'6'!O23+'7'!O23)/$O$24</f>
        <v>0</v>
      </c>
      <c r="P23" s="19">
        <f>('1'!P23+'2'!P23+'3'!P23+'4'!P23+'5'!P23+'6'!P23+'7'!P23)/$O$24</f>
        <v>4.3478260869565216E-2</v>
      </c>
      <c r="Q23" s="19">
        <f>('1'!Q23+'2'!Q23+'3'!Q23+'4'!Q23+'5'!Q23+'6'!Q23+'7'!Q23)/$O$24</f>
        <v>0</v>
      </c>
      <c r="R23" s="19">
        <f>('1'!R23+'2'!R23+'3'!R23+'4'!R23+'5'!R23+'6'!R23+'7'!R23)/$O$24</f>
        <v>0</v>
      </c>
      <c r="S23" s="19">
        <f>('1'!S23+'2'!S23+'3'!S23+'4'!S23+'5'!S23+'6'!S23+'7'!S23)/$O$24</f>
        <v>0</v>
      </c>
      <c r="T23" s="81">
        <f>('1'!T23+'2'!T23+'3'!T23+'4'!T23+'5'!T23+'6'!T23+'7'!T23)/$O$24</f>
        <v>0.15217391304347827</v>
      </c>
      <c r="V23" s="12" t="s">
        <v>12</v>
      </c>
      <c r="W23" s="19">
        <f>('1'!W23+'2'!W23+'3'!W23+'4'!W23+'5'!W23+'6'!W23+'7'!W23)/$W$24</f>
        <v>0.13043478260869565</v>
      </c>
      <c r="X23" s="19">
        <f>('1'!X23+'2'!X23+'3'!X23+'4'!X23+'5'!X23+'6'!X23+'7'!X23)/$W$24</f>
        <v>0</v>
      </c>
      <c r="Y23" s="19">
        <f>('1'!Y23+'2'!Y23+'3'!Y23+'4'!Y23+'5'!Y23+'6'!Y23+'7'!Y23)/$W$24</f>
        <v>5.434782608695652E-2</v>
      </c>
      <c r="Z23" s="19">
        <f>('1'!Z23+'2'!Z23+'3'!Z23+'4'!Z23+'5'!Z23+'6'!Z23+'7'!Z23)/$W$24</f>
        <v>0</v>
      </c>
      <c r="AA23" s="19">
        <f>('1'!AA23+'2'!AA23+'3'!AA23+'4'!AA23+'5'!AA23+'6'!AA23+'7'!AA23)/$W$24</f>
        <v>0</v>
      </c>
      <c r="AB23" s="19">
        <f>('1'!AB23+'2'!AB23+'3'!AB23+'4'!AB23+'5'!AB23+'6'!AB23+'7'!AB23)/$W$24</f>
        <v>7.6086956521739135E-2</v>
      </c>
      <c r="AC23" s="19">
        <f>('1'!AC23+'2'!AC23+'3'!AC23+'4'!AC23+'5'!AC23+'6'!AC23+'7'!AC23)/$AC$24</f>
        <v>3.5714285714285712E-2</v>
      </c>
      <c r="AD23" s="19">
        <f>('1'!AD23+'2'!AD23+'3'!AD23+'4'!AD23+'5'!AD23+'6'!AD23+'7'!AD23)/$AC$24</f>
        <v>0</v>
      </c>
      <c r="AE23" s="19">
        <f>('1'!AE23+'2'!AE23+'3'!AE23+'4'!AE23+'5'!AE23+'6'!AE23+'7'!AE23)/$AC$24</f>
        <v>0</v>
      </c>
      <c r="AF23" s="19">
        <f>('1'!AF23+'2'!AF23+'3'!AF23+'4'!AF23+'5'!AF23+'6'!AF23+'7'!AF23)/$AC$24</f>
        <v>3.5714285714285712E-2</v>
      </c>
      <c r="AG23" s="19">
        <f>('1'!AG23+'2'!AG23+'3'!AG23+'4'!AG23+'5'!AG23+'6'!AG23+'7'!AG23)/$AC$24</f>
        <v>1.7857142857142856E-2</v>
      </c>
      <c r="AH23" s="19">
        <f>('1'!AH23+'2'!AH23+'3'!AH23+'4'!AH23+'5'!AH23+'6'!AH23+'7'!AH23)/$AC$24</f>
        <v>0.125</v>
      </c>
      <c r="AI23" s="19">
        <f>('1'!AI23+'2'!AI23+'3'!AI23+'4'!AI23+'5'!AI23+'6'!AI23+'7'!AI23)/$AI$24</f>
        <v>0</v>
      </c>
      <c r="AJ23" s="19">
        <f>('1'!AJ23+'2'!AJ23+'3'!AJ23+'4'!AJ23+'5'!AJ23+'6'!AJ23+'7'!AJ23)/$AI$24</f>
        <v>0</v>
      </c>
      <c r="AK23" s="19">
        <f>('1'!AK23+'2'!AK23+'3'!AK23+'4'!AK23+'5'!AK23+'6'!AK23+'7'!AK23)/$AI$24</f>
        <v>0</v>
      </c>
      <c r="AL23" s="19">
        <f>('1'!AL23+'2'!AL23+'3'!AL23+'4'!AL23+'5'!AL23+'6'!AL23+'7'!AL23)/$AI$24</f>
        <v>0</v>
      </c>
      <c r="AM23" s="19">
        <f>('1'!AM23+'2'!AM23+'3'!AM23+'4'!AM23+'5'!AM23+'6'!AM23+'7'!AM23)/$AI$24</f>
        <v>0</v>
      </c>
      <c r="AN23" s="81">
        <f>('1'!AN23+'2'!AN23+'3'!AN23+'4'!AN23+'5'!AN23+'6'!AN23+'7'!AN23)/$AI$24</f>
        <v>0.15555555555555556</v>
      </c>
    </row>
    <row r="24" spans="2:40" ht="15.75" thickBot="1">
      <c r="B24" s="35" t="s">
        <v>26</v>
      </c>
      <c r="C24" s="16">
        <f>('1'!C24+'2'!C24+'3'!C24+'4'!C24+'5'!C24+'6'!C24+'7'!C24)</f>
        <v>86</v>
      </c>
      <c r="D24" s="16"/>
      <c r="E24" s="16"/>
      <c r="F24" s="16"/>
      <c r="G24" s="16"/>
      <c r="H24" s="16"/>
      <c r="I24" s="16">
        <f>('1'!I24+'2'!I24+'3'!I24+'4'!I24+'5'!I24+'6'!I24+'7'!I24)</f>
        <v>78</v>
      </c>
      <c r="J24" s="16"/>
      <c r="K24" s="16"/>
      <c r="L24" s="16"/>
      <c r="M24" s="16"/>
      <c r="N24" s="16"/>
      <c r="O24" s="16">
        <f>('1'!O24+'2'!O24+'3'!O24+'4'!O24+'5'!O24+'6'!O24+'7'!O24)</f>
        <v>46</v>
      </c>
      <c r="P24" s="16"/>
      <c r="Q24" s="16"/>
      <c r="R24" s="16"/>
      <c r="S24" s="16"/>
      <c r="T24" s="33"/>
      <c r="V24" s="35" t="s">
        <v>26</v>
      </c>
      <c r="W24" s="16">
        <f>('1'!W24+'2'!W24+'3'!W24+'4'!W24+'5'!W24+'6'!W24+'7'!W24)</f>
        <v>92</v>
      </c>
      <c r="X24" s="16">
        <f>('1'!X24+'2'!X24+'3'!X24+'4'!X24+'5'!X24+'6'!X24+'7'!X24)</f>
        <v>0</v>
      </c>
      <c r="Y24" s="16">
        <f>('1'!Y24+'2'!Y24+'3'!Y24+'4'!Y24+'5'!Y24+'6'!Y24+'7'!Y24)</f>
        <v>0</v>
      </c>
      <c r="Z24" s="16">
        <f>('1'!Z24+'2'!Z24+'3'!Z24+'4'!Z24+'5'!Z24+'6'!Z24+'7'!Z24)</f>
        <v>0</v>
      </c>
      <c r="AA24" s="16">
        <f>('1'!AA24+'2'!AA24+'3'!AA24+'4'!AA24+'5'!AA24+'6'!AA24+'7'!AA24)</f>
        <v>0</v>
      </c>
      <c r="AB24" s="16">
        <f>('1'!AB24+'2'!AB24+'3'!AB24+'4'!AB24+'5'!AB24+'6'!AB24+'7'!AB24)</f>
        <v>0</v>
      </c>
      <c r="AC24" s="16">
        <f>('1'!AC24+'2'!AC24+'3'!AC24+'4'!AC24+'5'!AC24+'6'!AC24+'7'!AC24)</f>
        <v>56</v>
      </c>
      <c r="AD24" s="16">
        <f>('1'!AD24+'2'!AD24+'3'!AD24+'4'!AD24+'5'!AD24+'6'!AD24+'7'!AD24)</f>
        <v>0</v>
      </c>
      <c r="AE24" s="16">
        <f>('1'!AE24+'2'!AE24+'3'!AE24+'4'!AE24+'5'!AE24+'6'!AE24+'7'!AE24)</f>
        <v>0</v>
      </c>
      <c r="AF24" s="16">
        <f>('1'!AF24+'2'!AF24+'3'!AF24+'4'!AF24+'5'!AF24+'6'!AF24+'7'!AF24)</f>
        <v>0</v>
      </c>
      <c r="AG24" s="16">
        <f>('1'!AG24+'2'!AG24+'3'!AG24+'4'!AG24+'5'!AG24+'6'!AG24+'7'!AG24)</f>
        <v>0</v>
      </c>
      <c r="AH24" s="16">
        <f>('1'!AH24+'2'!AH24+'3'!AH24+'4'!AH24+'5'!AH24+'6'!AH24+'7'!AH24)</f>
        <v>0</v>
      </c>
      <c r="AI24" s="16">
        <f>('1'!AI24+'2'!AI24+'3'!AI24+'4'!AI24+'5'!AI24+'6'!AI24+'7'!AI24)</f>
        <v>45</v>
      </c>
      <c r="AJ24" s="16">
        <f>('1'!AJ24+'2'!AJ24+'3'!AJ24+'4'!AJ24+'5'!AJ24+'6'!AJ24+'7'!AJ24)</f>
        <v>0</v>
      </c>
      <c r="AK24" s="16">
        <f>('1'!AK24+'2'!AK24+'3'!AK24+'4'!AK24+'5'!AK24+'6'!AK24+'7'!AK24)</f>
        <v>0</v>
      </c>
      <c r="AL24" s="16">
        <f>('1'!AL24+'2'!AL24+'3'!AL24+'4'!AL24+'5'!AL24+'6'!AL24+'7'!AL24)</f>
        <v>0</v>
      </c>
      <c r="AM24" s="16">
        <f>('1'!AM24+'2'!AM24+'3'!AM24+'4'!AM24+'5'!AM24+'6'!AM24+'7'!AM24)</f>
        <v>0</v>
      </c>
      <c r="AN24" s="33">
        <f>('1'!AN24+'2'!AN24+'3'!AN24+'4'!AN24+'5'!AN24+'6'!AN24+'7'!AN24)</f>
        <v>0</v>
      </c>
    </row>
    <row r="25" spans="2:40" ht="15.75" thickBot="1">
      <c r="C25" s="40">
        <f>SUM(C18:H23)</f>
        <v>1</v>
      </c>
      <c r="I25" s="1">
        <f>SUM(I18:N23)</f>
        <v>0.99999999999999978</v>
      </c>
      <c r="O25" s="1">
        <f>SUM(O18:T23)</f>
        <v>1</v>
      </c>
      <c r="W25" s="1">
        <f>SUM(W18:AB23)</f>
        <v>1</v>
      </c>
      <c r="AC25" s="1">
        <f>SUM(AC18:AH23)</f>
        <v>1.0000000000000002</v>
      </c>
      <c r="AI25" s="1">
        <f>SUM(AI18:AN23)</f>
        <v>1</v>
      </c>
    </row>
    <row r="26" spans="2:40" ht="15.75" thickBot="1">
      <c r="B26" s="82" t="s">
        <v>25</v>
      </c>
      <c r="C26" s="85" t="s">
        <v>20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30</v>
      </c>
      <c r="W26" s="85" t="s">
        <v>20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 ht="15.75" thickBot="1">
      <c r="B29" s="11" t="s">
        <v>7</v>
      </c>
      <c r="C29" s="19">
        <f>('1'!C29+'2'!C29+'3'!C29+'4'!C29+'5'!C29+'6'!C29+'7'!C29)/$C$35</f>
        <v>0.13207547169811321</v>
      </c>
      <c r="D29" s="19">
        <f>('1'!D29+'2'!D29+'3'!D29+'4'!D29+'5'!D29+'6'!D29+'7'!D29)/$C$35</f>
        <v>0</v>
      </c>
      <c r="E29" s="19">
        <f>('1'!E29+'2'!E29+'3'!E29+'4'!E29+'5'!E29+'6'!E29+'7'!E29)/$C$35</f>
        <v>0</v>
      </c>
      <c r="F29" s="19">
        <f>('1'!F29+'2'!F29+'3'!F29+'4'!F29+'5'!F29+'6'!F29+'7'!F29)/$C$35</f>
        <v>0</v>
      </c>
      <c r="G29" s="19">
        <f>('1'!G29+'2'!G29+'3'!G29+'4'!G29+'5'!G29+'6'!G29+'7'!G29)/$C$35</f>
        <v>3.7735849056603772E-2</v>
      </c>
      <c r="H29" s="19">
        <f>('1'!H29+'2'!H29+'3'!H29+'4'!H29+'5'!H29+'6'!H29+'7'!H29)/$C$35</f>
        <v>1.8867924528301886E-2</v>
      </c>
      <c r="I29" s="19">
        <f>('1'!I29+'2'!I29+'3'!I29+'4'!I29+'5'!I29+'6'!I29+'7'!I29)/$I$35</f>
        <v>0.109375</v>
      </c>
      <c r="J29" s="19">
        <f>('1'!J29+'2'!J29+'3'!J29+'4'!J29+'5'!J29+'6'!J29+'7'!J29)/$I$35</f>
        <v>0</v>
      </c>
      <c r="K29" s="19">
        <f>('1'!K29+'2'!K29+'3'!K29+'4'!K29+'5'!K29+'6'!K29+'7'!K29)/$I$35</f>
        <v>0</v>
      </c>
      <c r="L29" s="19">
        <f>('1'!L29+'2'!L29+'3'!L29+'4'!L29+'5'!L29+'6'!L29+'7'!L29)/$I$35</f>
        <v>1.5625E-2</v>
      </c>
      <c r="M29" s="19">
        <f>('1'!M29+'2'!M29+'3'!M29+'4'!M29+'5'!M29+'6'!M29+'7'!M29)/$I$35</f>
        <v>0</v>
      </c>
      <c r="N29" s="19">
        <f>('1'!N29+'2'!N29+'3'!N29+'4'!N29+'5'!N29+'6'!N29+'7'!N29)/$I$35</f>
        <v>6.25E-2</v>
      </c>
      <c r="O29" s="19">
        <f>('1'!O29+'2'!O29+'3'!O29+'4'!O29+'5'!O29+'6'!O29+'7'!O29)/$O$35</f>
        <v>0.13461538461538461</v>
      </c>
      <c r="P29" s="19">
        <f>('1'!P29+'2'!P29+'3'!P29+'4'!P29+'5'!P29+'6'!P29+'7'!P29)/$O$35</f>
        <v>0</v>
      </c>
      <c r="Q29" s="19">
        <f>('1'!Q29+'2'!Q29+'3'!Q29+'4'!Q29+'5'!Q29+'6'!Q29+'7'!Q29)/$O$35</f>
        <v>0</v>
      </c>
      <c r="R29" s="19">
        <f>('1'!R29+'2'!R29+'3'!R29+'4'!R29+'5'!R29+'6'!R29+'7'!R29)/$O$35</f>
        <v>0</v>
      </c>
      <c r="S29" s="19">
        <f>('1'!S29+'2'!S29+'3'!S29+'4'!S29+'5'!S29+'6'!S29+'7'!S29)/$O$35</f>
        <v>0</v>
      </c>
      <c r="T29" s="81">
        <f>('1'!T29+'2'!T29+'3'!T29+'4'!T29+'5'!T29+'6'!T29+'7'!T29)/$O$35</f>
        <v>5.7692307692307696E-2</v>
      </c>
      <c r="V29" s="11" t="s">
        <v>7</v>
      </c>
      <c r="W29" s="19">
        <f>('1'!W29+'2'!W29+'3'!W29+'4'!W29+'5'!W29+'6'!W29+'7'!W29)/$W$35</f>
        <v>9.45945945945946E-2</v>
      </c>
      <c r="X29" s="19">
        <f>('1'!X29+'2'!X29+'3'!X29+'4'!X29+'5'!X29+'6'!X29+'7'!X29)/$W$35</f>
        <v>1.3513513513513514E-2</v>
      </c>
      <c r="Y29" s="19">
        <f>('1'!Y29+'2'!Y29+'3'!Y29+'4'!Y29+'5'!Y29+'6'!Y29+'7'!Y29)/$W$35</f>
        <v>0</v>
      </c>
      <c r="Z29" s="19">
        <f>('1'!Z29+'2'!Z29+'3'!Z29+'4'!Z29+'5'!Z29+'6'!Z29+'7'!Z29)/$W$35</f>
        <v>0</v>
      </c>
      <c r="AA29" s="19">
        <f>('1'!AA29+'2'!AA29+'3'!AA29+'4'!AA29+'5'!AA29+'6'!AA29+'7'!AA29)/$W$35</f>
        <v>1.3513513513513514E-2</v>
      </c>
      <c r="AB29" s="19">
        <f>('1'!AB29+'2'!AB29+'3'!AB29+'4'!AB29+'5'!AB29+'6'!AB29+'7'!AB29)/$W$35</f>
        <v>0</v>
      </c>
      <c r="AC29" s="19">
        <f>('1'!AC29+'2'!AC29+'3'!AC29+'4'!AC29+'5'!AC29+'6'!AC29+'7'!AC29)/$AC$35</f>
        <v>8.8607594936708861E-2</v>
      </c>
      <c r="AD29" s="19">
        <f>('1'!AD29+'2'!AD29+'3'!AD29+'4'!AD29+'5'!AD29+'6'!AD29+'7'!AD29)/$AC$35</f>
        <v>0.10126582278481013</v>
      </c>
      <c r="AE29" s="19">
        <f>('1'!AE29+'2'!AE29+'3'!AE29+'4'!AE29+'5'!AE29+'6'!AE29+'7'!AE29)/$AC$35</f>
        <v>0</v>
      </c>
      <c r="AF29" s="19">
        <f>('1'!AF29+'2'!AF29+'3'!AF29+'4'!AF29+'5'!AF29+'6'!AF29+'7'!AF29)/$AC$35</f>
        <v>0</v>
      </c>
      <c r="AG29" s="19">
        <f>('1'!AG29+'2'!AG29+'3'!AG29+'4'!AG29+'5'!AG29+'6'!AG29+'7'!AG29)/$AC$35</f>
        <v>1.2658227848101266E-2</v>
      </c>
      <c r="AH29" s="19">
        <f>('1'!AH29+'2'!AH29+'3'!AH29+'4'!AH29+'5'!AH29+'6'!AH29+'7'!AH29)/$AC$35</f>
        <v>1.2658227848101266E-2</v>
      </c>
      <c r="AI29" s="19">
        <f>('1'!AI29+'2'!AI29+'3'!AI29+'4'!AI29+'5'!AI29+'6'!AI29+'7'!AI29)/$AI$35</f>
        <v>0.14893617021276595</v>
      </c>
      <c r="AJ29" s="19">
        <f>('1'!AJ29+'2'!AJ29+'3'!AJ29+'4'!AJ29+'5'!AJ29+'6'!AJ29+'7'!AJ29)/$AI$35</f>
        <v>2.1276595744680851E-2</v>
      </c>
      <c r="AK29" s="19">
        <f>('1'!AK29+'2'!AK29+'3'!AK29+'4'!AK29+'5'!AK29+'6'!AK29+'7'!AK29)/$AI$35</f>
        <v>2.1276595744680851E-2</v>
      </c>
      <c r="AL29" s="19">
        <f>('1'!AL29+'2'!AL29+'3'!AL29+'4'!AL29+'5'!AL29+'6'!AL29+'7'!AL29)/$AI$35</f>
        <v>0</v>
      </c>
      <c r="AM29" s="19">
        <f>('1'!AM29+'2'!AM29+'3'!AM29+'4'!AM29+'5'!AM29+'6'!AM29+'7'!AM29)/$AI$35</f>
        <v>0</v>
      </c>
      <c r="AN29" s="81">
        <f>('1'!AN29+'2'!AN29+'3'!AN29+'4'!AN29+'5'!AN29+'6'!AN29+'7'!AN29)/$AI$35</f>
        <v>0</v>
      </c>
    </row>
    <row r="30" spans="2:40" ht="15.75" thickBot="1">
      <c r="B30" s="11" t="s">
        <v>8</v>
      </c>
      <c r="C30" s="19">
        <f>('1'!C30+'2'!C30+'3'!C30+'4'!C30+'5'!C30+'6'!C30+'7'!C30)/$C$35</f>
        <v>0</v>
      </c>
      <c r="D30" s="19">
        <f>('1'!D30+'2'!D30+'3'!D30+'4'!D30+'5'!D30+'6'!D30+'7'!D30)/$C$35</f>
        <v>0.13207547169811321</v>
      </c>
      <c r="E30" s="19">
        <f>('1'!E30+'2'!E30+'3'!E30+'4'!E30+'5'!E30+'6'!E30+'7'!E30)/$C$35</f>
        <v>0</v>
      </c>
      <c r="F30" s="19">
        <f>('1'!F30+'2'!F30+'3'!F30+'4'!F30+'5'!F30+'6'!F30+'7'!F30)/$C$35</f>
        <v>0</v>
      </c>
      <c r="G30" s="19">
        <f>('1'!G30+'2'!G30+'3'!G30+'4'!G30+'5'!G30+'6'!G30+'7'!G30)/$C$35</f>
        <v>0</v>
      </c>
      <c r="H30" s="19">
        <f>('1'!H30+'2'!H30+'3'!H30+'4'!H30+'5'!H30+'6'!H30+'7'!H30)/$C$35</f>
        <v>0</v>
      </c>
      <c r="I30" s="19">
        <f>('1'!I30+'2'!I30+'3'!I30+'4'!I30+'5'!I30+'6'!I30+'7'!I30)/$I$35</f>
        <v>0</v>
      </c>
      <c r="J30" s="19">
        <f>('1'!J30+'2'!J30+'3'!J30+'4'!J30+'5'!J30+'6'!J30+'7'!J30)/$I$35</f>
        <v>0.109375</v>
      </c>
      <c r="K30" s="19">
        <f>('1'!K30+'2'!K30+'3'!K30+'4'!K30+'5'!K30+'6'!K30+'7'!K30)/$I$35</f>
        <v>0</v>
      </c>
      <c r="L30" s="19">
        <f>('1'!L30+'2'!L30+'3'!L30+'4'!L30+'5'!L30+'6'!L30+'7'!L30)/$I$35</f>
        <v>0</v>
      </c>
      <c r="M30" s="19">
        <f>('1'!M30+'2'!M30+'3'!M30+'4'!M30+'5'!M30+'6'!M30+'7'!M30)/$I$35</f>
        <v>0</v>
      </c>
      <c r="N30" s="19">
        <f>('1'!N30+'2'!N30+'3'!N30+'4'!N30+'5'!N30+'6'!N30+'7'!N30)/$I$35</f>
        <v>0</v>
      </c>
      <c r="O30" s="19">
        <f>('1'!O30+'2'!O30+'3'!O30+'4'!O30+'5'!O30+'6'!O30+'7'!O30)/$O$35</f>
        <v>0</v>
      </c>
      <c r="P30" s="19">
        <f>('1'!P30+'2'!P30+'3'!P30+'4'!P30+'5'!P30+'6'!P30+'7'!P30)/$O$35</f>
        <v>0.13461538461538461</v>
      </c>
      <c r="Q30" s="19">
        <f>('1'!Q30+'2'!Q30+'3'!Q30+'4'!Q30+'5'!Q30+'6'!Q30+'7'!Q30)/$O$35</f>
        <v>0</v>
      </c>
      <c r="R30" s="19">
        <f>('1'!R30+'2'!R30+'3'!R30+'4'!R30+'5'!R30+'6'!R30+'7'!R30)/$O$35</f>
        <v>0</v>
      </c>
      <c r="S30" s="19">
        <f>('1'!S30+'2'!S30+'3'!S30+'4'!S30+'5'!S30+'6'!S30+'7'!S30)/$O$35</f>
        <v>0</v>
      </c>
      <c r="T30" s="81">
        <f>('1'!T30+'2'!T30+'3'!T30+'4'!T30+'5'!T30+'6'!T30+'7'!T30)/$O$35</f>
        <v>0</v>
      </c>
      <c r="V30" s="11" t="s">
        <v>8</v>
      </c>
      <c r="W30" s="19">
        <f>('1'!W30+'2'!W30+'3'!W30+'4'!W30+'5'!W30+'6'!W30+'7'!W30)/$W$35</f>
        <v>2.7027027027027029E-2</v>
      </c>
      <c r="X30" s="19">
        <f>('1'!X30+'2'!X30+'3'!X30+'4'!X30+'5'!X30+'6'!X30+'7'!X30)/$W$35</f>
        <v>9.45945945945946E-2</v>
      </c>
      <c r="Y30" s="19">
        <f>('1'!Y30+'2'!Y30+'3'!Y30+'4'!Y30+'5'!Y30+'6'!Y30+'7'!Y30)/$W$35</f>
        <v>2.7027027027027029E-2</v>
      </c>
      <c r="Z30" s="19">
        <f>('1'!Z30+'2'!Z30+'3'!Z30+'4'!Z30+'5'!Z30+'6'!Z30+'7'!Z30)/$W$35</f>
        <v>2.7027027027027029E-2</v>
      </c>
      <c r="AA30" s="19">
        <f>('1'!AA30+'2'!AA30+'3'!AA30+'4'!AA30+'5'!AA30+'6'!AA30+'7'!AA30)/$W$35</f>
        <v>1.3513513513513514E-2</v>
      </c>
      <c r="AB30" s="19">
        <f>('1'!AB30+'2'!AB30+'3'!AB30+'4'!AB30+'5'!AB30+'6'!AB30+'7'!AB30)/$W$35</f>
        <v>1.3513513513513514E-2</v>
      </c>
      <c r="AC30" s="19">
        <f>('1'!AC30+'2'!AC30+'3'!AC30+'4'!AC30+'5'!AC30+'6'!AC30+'7'!AC30)/$AC$35</f>
        <v>0.10126582278481013</v>
      </c>
      <c r="AD30" s="19">
        <f>('1'!AD30+'2'!AD30+'3'!AD30+'4'!AD30+'5'!AD30+'6'!AD30+'7'!AD30)/$AC$35</f>
        <v>8.8607594936708861E-2</v>
      </c>
      <c r="AE30" s="19">
        <f>('1'!AE30+'2'!AE30+'3'!AE30+'4'!AE30+'5'!AE30+'6'!AE30+'7'!AE30)/$AC$35</f>
        <v>2.5316455696202531E-2</v>
      </c>
      <c r="AF30" s="19">
        <f>('1'!AF30+'2'!AF30+'3'!AF30+'4'!AF30+'5'!AF30+'6'!AF30+'7'!AF30)/$AC$35</f>
        <v>1.2658227848101266E-2</v>
      </c>
      <c r="AG30" s="19">
        <f>('1'!AG30+'2'!AG30+'3'!AG30+'4'!AG30+'5'!AG30+'6'!AG30+'7'!AG30)/$AC$35</f>
        <v>0</v>
      </c>
      <c r="AH30" s="19">
        <f>('1'!AH30+'2'!AH30+'3'!AH30+'4'!AH30+'5'!AH30+'6'!AH30+'7'!AH30)/$AC$35</f>
        <v>3.7974683544303799E-2</v>
      </c>
      <c r="AI30" s="19">
        <f>('1'!AI30+'2'!AI30+'3'!AI30+'4'!AI30+'5'!AI30+'6'!AI30+'7'!AI30)/$AI$35</f>
        <v>0</v>
      </c>
      <c r="AJ30" s="19">
        <f>('1'!AJ30+'2'!AJ30+'3'!AJ30+'4'!AJ30+'5'!AJ30+'6'!AJ30+'7'!AJ30)/$AI$35</f>
        <v>0.14893617021276595</v>
      </c>
      <c r="AK30" s="19">
        <f>('1'!AK30+'2'!AK30+'3'!AK30+'4'!AK30+'5'!AK30+'6'!AK30+'7'!AK30)/$AI$35</f>
        <v>0</v>
      </c>
      <c r="AL30" s="19">
        <f>('1'!AL30+'2'!AL30+'3'!AL30+'4'!AL30+'5'!AL30+'6'!AL30+'7'!AL30)/$AI$35</f>
        <v>0</v>
      </c>
      <c r="AM30" s="19">
        <f>('1'!AM30+'2'!AM30+'3'!AM30+'4'!AM30+'5'!AM30+'6'!AM30+'7'!AM30)/$AI$35</f>
        <v>0</v>
      </c>
      <c r="AN30" s="81">
        <f>('1'!AN30+'2'!AN30+'3'!AN30+'4'!AN30+'5'!AN30+'6'!AN30+'7'!AN30)/$AI$35</f>
        <v>0</v>
      </c>
    </row>
    <row r="31" spans="2:40" ht="15.75" thickBot="1">
      <c r="B31" s="11" t="s">
        <v>9</v>
      </c>
      <c r="C31" s="19">
        <f>('1'!C31+'2'!C31+'3'!C31+'4'!C31+'5'!C31+'6'!C31+'7'!C31)/$C$35</f>
        <v>0</v>
      </c>
      <c r="D31" s="19">
        <f>('1'!D31+'2'!D31+'3'!D31+'4'!D31+'5'!D31+'6'!D31+'7'!D31)/$C$35</f>
        <v>0</v>
      </c>
      <c r="E31" s="19">
        <f>('1'!E31+'2'!E31+'3'!E31+'4'!E31+'5'!E31+'6'!E31+'7'!E31)/$C$35</f>
        <v>0.13207547169811321</v>
      </c>
      <c r="F31" s="19">
        <f>('1'!F31+'2'!F31+'3'!F31+'4'!F31+'5'!F31+'6'!F31+'7'!F31)/$C$35</f>
        <v>0</v>
      </c>
      <c r="G31" s="19">
        <f>('1'!G31+'2'!G31+'3'!G31+'4'!G31+'5'!G31+'6'!G31+'7'!G31)/$C$35</f>
        <v>0</v>
      </c>
      <c r="H31" s="19">
        <f>('1'!H31+'2'!H31+'3'!H31+'4'!H31+'5'!H31+'6'!H31+'7'!H31)/$C$35</f>
        <v>0</v>
      </c>
      <c r="I31" s="19">
        <f>('1'!I31+'2'!I31+'3'!I31+'4'!I31+'5'!I31+'6'!I31+'7'!I31)/$I$35</f>
        <v>0</v>
      </c>
      <c r="J31" s="19">
        <f>('1'!J31+'2'!J31+'3'!J31+'4'!J31+'5'!J31+'6'!J31+'7'!J31)/$I$35</f>
        <v>0</v>
      </c>
      <c r="K31" s="19">
        <f>('1'!K31+'2'!K31+'3'!K31+'4'!K31+'5'!K31+'6'!K31+'7'!K31)/$I$35</f>
        <v>0.109375</v>
      </c>
      <c r="L31" s="19">
        <f>('1'!L31+'2'!L31+'3'!L31+'4'!L31+'5'!L31+'6'!L31+'7'!L31)/$I$35</f>
        <v>0</v>
      </c>
      <c r="M31" s="19">
        <f>('1'!M31+'2'!M31+'3'!M31+'4'!M31+'5'!M31+'6'!M31+'7'!M31)/$I$35</f>
        <v>0</v>
      </c>
      <c r="N31" s="19">
        <f>('1'!N31+'2'!N31+'3'!N31+'4'!N31+'5'!N31+'6'!N31+'7'!N31)/$I$35</f>
        <v>1.5625E-2</v>
      </c>
      <c r="O31" s="19">
        <f>('1'!O31+'2'!O31+'3'!O31+'4'!O31+'5'!O31+'6'!O31+'7'!O31)/$O$35</f>
        <v>1.9230769230769232E-2</v>
      </c>
      <c r="P31" s="19">
        <f>('1'!P31+'2'!P31+'3'!P31+'4'!P31+'5'!P31+'6'!P31+'7'!P31)/$O$35</f>
        <v>0</v>
      </c>
      <c r="Q31" s="19">
        <f>('1'!Q31+'2'!Q31+'3'!Q31+'4'!Q31+'5'!Q31+'6'!Q31+'7'!Q31)/$O$35</f>
        <v>0.13461538461538461</v>
      </c>
      <c r="R31" s="19">
        <f>('1'!R31+'2'!R31+'3'!R31+'4'!R31+'5'!R31+'6'!R31+'7'!R31)/$O$35</f>
        <v>0</v>
      </c>
      <c r="S31" s="19">
        <f>('1'!S31+'2'!S31+'3'!S31+'4'!S31+'5'!S31+'6'!S31+'7'!S31)/$O$35</f>
        <v>0</v>
      </c>
      <c r="T31" s="81">
        <f>('1'!T31+'2'!T31+'3'!T31+'4'!T31+'5'!T31+'6'!T31+'7'!T31)/$O$35</f>
        <v>3.8461538461538464E-2</v>
      </c>
      <c r="V31" s="11" t="s">
        <v>9</v>
      </c>
      <c r="W31" s="19">
        <f>('1'!W31+'2'!W31+'3'!W31+'4'!W31+'5'!W31+'6'!W31+'7'!W31)/$W$35</f>
        <v>0</v>
      </c>
      <c r="X31" s="19">
        <f>('1'!X31+'2'!X31+'3'!X31+'4'!X31+'5'!X31+'6'!X31+'7'!X31)/$W$35</f>
        <v>1.3513513513513514E-2</v>
      </c>
      <c r="Y31" s="19">
        <f>('1'!Y31+'2'!Y31+'3'!Y31+'4'!Y31+'5'!Y31+'6'!Y31+'7'!Y31)/$W$35</f>
        <v>9.45945945945946E-2</v>
      </c>
      <c r="Z31" s="19">
        <f>('1'!Z31+'2'!Z31+'3'!Z31+'4'!Z31+'5'!Z31+'6'!Z31+'7'!Z31)/$W$35</f>
        <v>0</v>
      </c>
      <c r="AA31" s="19">
        <f>('1'!AA31+'2'!AA31+'3'!AA31+'4'!AA31+'5'!AA31+'6'!AA31+'7'!AA31)/$W$35</f>
        <v>0</v>
      </c>
      <c r="AB31" s="19">
        <f>('1'!AB31+'2'!AB31+'3'!AB31+'4'!AB31+'5'!AB31+'6'!AB31+'7'!AB31)/$W$35</f>
        <v>5.4054054054054057E-2</v>
      </c>
      <c r="AC31" s="19">
        <f>('1'!AC31+'2'!AC31+'3'!AC31+'4'!AC31+'5'!AC31+'6'!AC31+'7'!AC31)/$AC$35</f>
        <v>0</v>
      </c>
      <c r="AD31" s="19">
        <f>('1'!AD31+'2'!AD31+'3'!AD31+'4'!AD31+'5'!AD31+'6'!AD31+'7'!AD31)/$AC$35</f>
        <v>1.2658227848101266E-2</v>
      </c>
      <c r="AE31" s="19">
        <f>('1'!AE31+'2'!AE31+'3'!AE31+'4'!AE31+'5'!AE31+'6'!AE31+'7'!AE31)/$AC$35</f>
        <v>8.8607594936708861E-2</v>
      </c>
      <c r="AF31" s="19">
        <f>('1'!AF31+'2'!AF31+'3'!AF31+'4'!AF31+'5'!AF31+'6'!AF31+'7'!AF31)/$AC$35</f>
        <v>0</v>
      </c>
      <c r="AG31" s="19">
        <f>('1'!AG31+'2'!AG31+'3'!AG31+'4'!AG31+'5'!AG31+'6'!AG31+'7'!AG31)/$AC$35</f>
        <v>0</v>
      </c>
      <c r="AH31" s="19">
        <f>('1'!AH31+'2'!AH31+'3'!AH31+'4'!AH31+'5'!AH31+'6'!AH31+'7'!AH31)/$AC$35</f>
        <v>3.7974683544303799E-2</v>
      </c>
      <c r="AI31" s="19">
        <f>('1'!AI31+'2'!AI31+'3'!AI31+'4'!AI31+'5'!AI31+'6'!AI31+'7'!AI31)/$AI$35</f>
        <v>0</v>
      </c>
      <c r="AJ31" s="19">
        <f>('1'!AJ31+'2'!AJ31+'3'!AJ31+'4'!AJ31+'5'!AJ31+'6'!AJ31+'7'!AJ31)/$AI$35</f>
        <v>0</v>
      </c>
      <c r="AK31" s="19">
        <f>('1'!AK31+'2'!AK31+'3'!AK31+'4'!AK31+'5'!AK31+'6'!AK31+'7'!AK31)/$AI$35</f>
        <v>0.14893617021276595</v>
      </c>
      <c r="AL31" s="19">
        <f>('1'!AL31+'2'!AL31+'3'!AL31+'4'!AL31+'5'!AL31+'6'!AL31+'7'!AL31)/$AI$35</f>
        <v>0</v>
      </c>
      <c r="AM31" s="19">
        <f>('1'!AM31+'2'!AM31+'3'!AM31+'4'!AM31+'5'!AM31+'6'!AM31+'7'!AM31)/$AI$35</f>
        <v>0</v>
      </c>
      <c r="AN31" s="81">
        <f>('1'!AN31+'2'!AN31+'3'!AN31+'4'!AN31+'5'!AN31+'6'!AN31+'7'!AN31)/$AI$35</f>
        <v>2.1276595744680851E-2</v>
      </c>
    </row>
    <row r="32" spans="2:40" ht="15.75" thickBot="1">
      <c r="B32" s="11" t="s">
        <v>10</v>
      </c>
      <c r="C32" s="19">
        <f>('1'!C32+'2'!C32+'3'!C32+'4'!C32+'5'!C32+'6'!C32+'7'!C32)/$C$35</f>
        <v>0</v>
      </c>
      <c r="D32" s="19">
        <f>('1'!D32+'2'!D32+'3'!D32+'4'!D32+'5'!D32+'6'!D32+'7'!D32)/$C$35</f>
        <v>0</v>
      </c>
      <c r="E32" s="19">
        <f>('1'!E32+'2'!E32+'3'!E32+'4'!E32+'5'!E32+'6'!E32+'7'!E32)/$C$35</f>
        <v>0</v>
      </c>
      <c r="F32" s="19">
        <f>('1'!F32+'2'!F32+'3'!F32+'4'!F32+'5'!F32+'6'!F32+'7'!F32)/$C$35</f>
        <v>0.13207547169811321</v>
      </c>
      <c r="G32" s="19">
        <f>('1'!G32+'2'!G32+'3'!G32+'4'!G32+'5'!G32+'6'!G32+'7'!G32)/$C$35</f>
        <v>0</v>
      </c>
      <c r="H32" s="19">
        <f>('1'!H32+'2'!H32+'3'!H32+'4'!H32+'5'!H32+'6'!H32+'7'!H32)/$C$35</f>
        <v>1.8867924528301886E-2</v>
      </c>
      <c r="I32" s="19">
        <f>('1'!I32+'2'!I32+'3'!I32+'4'!I32+'5'!I32+'6'!I32+'7'!I32)/$I$35</f>
        <v>3.125E-2</v>
      </c>
      <c r="J32" s="19">
        <f>('1'!J32+'2'!J32+'3'!J32+'4'!J32+'5'!J32+'6'!J32+'7'!J32)/$I$35</f>
        <v>0</v>
      </c>
      <c r="K32" s="19">
        <f>('1'!K32+'2'!K32+'3'!K32+'4'!K32+'5'!K32+'6'!K32+'7'!K32)/$I$35</f>
        <v>0</v>
      </c>
      <c r="L32" s="19">
        <f>('1'!L32+'2'!L32+'3'!L32+'4'!L32+'5'!L32+'6'!L32+'7'!L32)/$I$35</f>
        <v>0.109375</v>
      </c>
      <c r="M32" s="19">
        <f>('1'!M32+'2'!M32+'3'!M32+'4'!M32+'5'!M32+'6'!M32+'7'!M32)/$I$35</f>
        <v>3.125E-2</v>
      </c>
      <c r="N32" s="19">
        <f>('1'!N32+'2'!N32+'3'!N32+'4'!N32+'5'!N32+'6'!N32+'7'!N32)/$I$35</f>
        <v>1.5625E-2</v>
      </c>
      <c r="O32" s="19">
        <f>('1'!O32+'2'!O32+'3'!O32+'4'!O32+'5'!O32+'6'!O32+'7'!O32)/$O$35</f>
        <v>0</v>
      </c>
      <c r="P32" s="19">
        <f>('1'!P32+'2'!P32+'3'!P32+'4'!P32+'5'!P32+'6'!P32+'7'!P32)/$O$35</f>
        <v>0</v>
      </c>
      <c r="Q32" s="19">
        <f>('1'!Q32+'2'!Q32+'3'!Q32+'4'!Q32+'5'!Q32+'6'!Q32+'7'!Q32)/$O$35</f>
        <v>0</v>
      </c>
      <c r="R32" s="19">
        <f>('1'!R32+'2'!R32+'3'!R32+'4'!R32+'5'!R32+'6'!R32+'7'!R32)/$O$35</f>
        <v>0.13461538461538461</v>
      </c>
      <c r="S32" s="19">
        <f>('1'!S32+'2'!S32+'3'!S32+'4'!S32+'5'!S32+'6'!S32+'7'!S32)/$O$35</f>
        <v>0</v>
      </c>
      <c r="T32" s="81">
        <f>('1'!T32+'2'!T32+'3'!T32+'4'!T32+'5'!T32+'6'!T32+'7'!T32)/$O$35</f>
        <v>1.9230769230769232E-2</v>
      </c>
      <c r="V32" s="11" t="s">
        <v>10</v>
      </c>
      <c r="W32" s="19">
        <f>('1'!W32+'2'!W32+'3'!W32+'4'!W32+'5'!W32+'6'!W32+'7'!W32)/$W$35</f>
        <v>1.3513513513513514E-2</v>
      </c>
      <c r="X32" s="19">
        <f>('1'!X32+'2'!X32+'3'!X32+'4'!X32+'5'!X32+'6'!X32+'7'!X32)/$W$35</f>
        <v>0</v>
      </c>
      <c r="Y32" s="19">
        <f>('1'!Y32+'2'!Y32+'3'!Y32+'4'!Y32+'5'!Y32+'6'!Y32+'7'!Y32)/$W$35</f>
        <v>0</v>
      </c>
      <c r="Z32" s="19">
        <f>('1'!Z32+'2'!Z32+'3'!Z32+'4'!Z32+'5'!Z32+'6'!Z32+'7'!Z32)/$W$35</f>
        <v>9.45945945945946E-2</v>
      </c>
      <c r="AA32" s="19">
        <f>('1'!AA32+'2'!AA32+'3'!AA32+'4'!AA32+'5'!AA32+'6'!AA32+'7'!AA32)/$W$35</f>
        <v>1.3513513513513514E-2</v>
      </c>
      <c r="AB32" s="19">
        <f>('1'!AB32+'2'!AB32+'3'!AB32+'4'!AB32+'5'!AB32+'6'!AB32+'7'!AB32)/$W$35</f>
        <v>2.7027027027027029E-2</v>
      </c>
      <c r="AC32" s="19">
        <f>('1'!AC32+'2'!AC32+'3'!AC32+'4'!AC32+'5'!AC32+'6'!AC32+'7'!AC32)/$AC$35</f>
        <v>0</v>
      </c>
      <c r="AD32" s="19">
        <f>('1'!AD32+'2'!AD32+'3'!AD32+'4'!AD32+'5'!AD32+'6'!AD32+'7'!AD32)/$AC$35</f>
        <v>1.2658227848101266E-2</v>
      </c>
      <c r="AE32" s="19">
        <f>('1'!AE32+'2'!AE32+'3'!AE32+'4'!AE32+'5'!AE32+'6'!AE32+'7'!AE32)/$AC$35</f>
        <v>0</v>
      </c>
      <c r="AF32" s="19">
        <f>('1'!AF32+'2'!AF32+'3'!AF32+'4'!AF32+'5'!AF32+'6'!AF32+'7'!AF32)/$AC$35</f>
        <v>8.8607594936708861E-2</v>
      </c>
      <c r="AG32" s="19">
        <f>('1'!AG32+'2'!AG32+'3'!AG32+'4'!AG32+'5'!AG32+'6'!AG32+'7'!AG32)/$AC$35</f>
        <v>0</v>
      </c>
      <c r="AH32" s="19">
        <f>('1'!AH32+'2'!AH32+'3'!AH32+'4'!AH32+'5'!AH32+'6'!AH32+'7'!AH32)/$AC$35</f>
        <v>1.2658227848101266E-2</v>
      </c>
      <c r="AI32" s="19">
        <f>('1'!AI32+'2'!AI32+'3'!AI32+'4'!AI32+'5'!AI32+'6'!AI32+'7'!AI32)/$AI$35</f>
        <v>0</v>
      </c>
      <c r="AJ32" s="19">
        <f>('1'!AJ32+'2'!AJ32+'3'!AJ32+'4'!AJ32+'5'!AJ32+'6'!AJ32+'7'!AJ32)/$AI$35</f>
        <v>0</v>
      </c>
      <c r="AK32" s="19">
        <f>('1'!AK32+'2'!AK32+'3'!AK32+'4'!AK32+'5'!AK32+'6'!AK32+'7'!AK32)/$AI$35</f>
        <v>0</v>
      </c>
      <c r="AL32" s="19">
        <f>('1'!AL32+'2'!AL32+'3'!AL32+'4'!AL32+'5'!AL32+'6'!AL32+'7'!AL32)/$AI$35</f>
        <v>0.14893617021276595</v>
      </c>
      <c r="AM32" s="19">
        <f>('1'!AM32+'2'!AM32+'3'!AM32+'4'!AM32+'5'!AM32+'6'!AM32+'7'!AM32)/$AI$35</f>
        <v>0</v>
      </c>
      <c r="AN32" s="81">
        <f>('1'!AN32+'2'!AN32+'3'!AN32+'4'!AN32+'5'!AN32+'6'!AN32+'7'!AN32)/$AI$35</f>
        <v>2.1276595744680851E-2</v>
      </c>
    </row>
    <row r="33" spans="2:40" ht="15.75" thickBot="1">
      <c r="B33" s="11" t="s">
        <v>11</v>
      </c>
      <c r="C33" s="19">
        <f>('1'!C33+'2'!C33+'3'!C33+'4'!C33+'5'!C33+'6'!C33+'7'!C33)/$C$35</f>
        <v>7.5471698113207544E-2</v>
      </c>
      <c r="D33" s="19">
        <f>('1'!D33+'2'!D33+'3'!D33+'4'!D33+'5'!D33+'6'!D33+'7'!D33)/$C$35</f>
        <v>0</v>
      </c>
      <c r="E33" s="19">
        <f>('1'!E33+'2'!E33+'3'!E33+'4'!E33+'5'!E33+'6'!E33+'7'!E33)/$C$35</f>
        <v>0</v>
      </c>
      <c r="F33" s="19">
        <f>('1'!F33+'2'!F33+'3'!F33+'4'!F33+'5'!F33+'6'!F33+'7'!F33)/$C$35</f>
        <v>0</v>
      </c>
      <c r="G33" s="19">
        <f>('1'!G33+'2'!G33+'3'!G33+'4'!G33+'5'!G33+'6'!G33+'7'!G33)/$C$35</f>
        <v>0.13207547169811321</v>
      </c>
      <c r="H33" s="19">
        <f>('1'!H33+'2'!H33+'3'!H33+'4'!H33+'5'!H33+'6'!H33+'7'!H33)/$C$35</f>
        <v>0</v>
      </c>
      <c r="I33" s="19">
        <f>('1'!I33+'2'!I33+'3'!I33+'4'!I33+'5'!I33+'6'!I33+'7'!I33)/$I$35</f>
        <v>1.5625E-2</v>
      </c>
      <c r="J33" s="19">
        <f>('1'!J33+'2'!J33+'3'!J33+'4'!J33+'5'!J33+'6'!J33+'7'!J33)/$I$35</f>
        <v>0</v>
      </c>
      <c r="K33" s="19">
        <f>('1'!K33+'2'!K33+'3'!K33+'4'!K33+'5'!K33+'6'!K33+'7'!K33)/$I$35</f>
        <v>0</v>
      </c>
      <c r="L33" s="19">
        <f>('1'!L33+'2'!L33+'3'!L33+'4'!L33+'5'!L33+'6'!L33+'7'!L33)/$I$35</f>
        <v>0</v>
      </c>
      <c r="M33" s="19">
        <f>('1'!M33+'2'!M33+'3'!M33+'4'!M33+'5'!M33+'6'!M33+'7'!M33)/$I$35</f>
        <v>0.109375</v>
      </c>
      <c r="N33" s="19">
        <f>('1'!N33+'2'!N33+'3'!N33+'4'!N33+'5'!N33+'6'!N33+'7'!N33)/$I$35</f>
        <v>1.5625E-2</v>
      </c>
      <c r="O33" s="19">
        <f>('1'!O33+'2'!O33+'3'!O33+'4'!O33+'5'!O33+'6'!O33+'7'!O33)/$O$35</f>
        <v>1.9230769230769232E-2</v>
      </c>
      <c r="P33" s="19">
        <f>('1'!P33+'2'!P33+'3'!P33+'4'!P33+'5'!P33+'6'!P33+'7'!P33)/$O$35</f>
        <v>0</v>
      </c>
      <c r="Q33" s="19">
        <f>('1'!Q33+'2'!Q33+'3'!Q33+'4'!Q33+'5'!Q33+'6'!Q33+'7'!Q33)/$O$35</f>
        <v>0</v>
      </c>
      <c r="R33" s="19">
        <f>('1'!R33+'2'!R33+'3'!R33+'4'!R33+'5'!R33+'6'!R33+'7'!R33)/$O$35</f>
        <v>0</v>
      </c>
      <c r="S33" s="19">
        <f>('1'!S33+'2'!S33+'3'!S33+'4'!S33+'5'!S33+'6'!S33+'7'!S33)/$O$35</f>
        <v>0.13461538461538461</v>
      </c>
      <c r="T33" s="81">
        <f>('1'!T33+'2'!T33+'3'!T33+'4'!T33+'5'!T33+'6'!T33+'7'!T33)/$O$35</f>
        <v>0</v>
      </c>
      <c r="V33" s="11" t="s">
        <v>11</v>
      </c>
      <c r="W33" s="19">
        <f>('1'!W33+'2'!W33+'3'!W33+'4'!W33+'5'!W33+'6'!W33+'7'!W33)/$W$35</f>
        <v>2.7027027027027029E-2</v>
      </c>
      <c r="X33" s="19">
        <f>('1'!X33+'2'!X33+'3'!X33+'4'!X33+'5'!X33+'6'!X33+'7'!X33)/$W$35</f>
        <v>0</v>
      </c>
      <c r="Y33" s="19">
        <f>('1'!Y33+'2'!Y33+'3'!Y33+'4'!Y33+'5'!Y33+'6'!Y33+'7'!Y33)/$W$35</f>
        <v>1.3513513513513514E-2</v>
      </c>
      <c r="Z33" s="19">
        <f>('1'!Z33+'2'!Z33+'3'!Z33+'4'!Z33+'5'!Z33+'6'!Z33+'7'!Z33)/$W$35</f>
        <v>0</v>
      </c>
      <c r="AA33" s="19">
        <f>('1'!AA33+'2'!AA33+'3'!AA33+'4'!AA33+'5'!AA33+'6'!AA33+'7'!AA33)/$W$35</f>
        <v>9.45945945945946E-2</v>
      </c>
      <c r="AB33" s="19">
        <f>('1'!AB33+'2'!AB33+'3'!AB33+'4'!AB33+'5'!AB33+'6'!AB33+'7'!AB33)/$W$35</f>
        <v>0</v>
      </c>
      <c r="AC33" s="19">
        <f>('1'!AC33+'2'!AC33+'3'!AC33+'4'!AC33+'5'!AC33+'6'!AC33+'7'!AC33)/$AC$35</f>
        <v>0</v>
      </c>
      <c r="AD33" s="19">
        <f>('1'!AD33+'2'!AD33+'3'!AD33+'4'!AD33+'5'!AD33+'6'!AD33+'7'!AD33)/$AC$35</f>
        <v>1.2658227848101266E-2</v>
      </c>
      <c r="AE33" s="19">
        <f>('1'!AE33+'2'!AE33+'3'!AE33+'4'!AE33+'5'!AE33+'6'!AE33+'7'!AE33)/$AC$35</f>
        <v>0</v>
      </c>
      <c r="AF33" s="19">
        <f>('1'!AF33+'2'!AF33+'3'!AF33+'4'!AF33+'5'!AF33+'6'!AF33+'7'!AF33)/$AC$35</f>
        <v>0</v>
      </c>
      <c r="AG33" s="19">
        <f>('1'!AG33+'2'!AG33+'3'!AG33+'4'!AG33+'5'!AG33+'6'!AG33+'7'!AG33)/$AC$35</f>
        <v>8.8607594936708861E-2</v>
      </c>
      <c r="AH33" s="19">
        <f>('1'!AH33+'2'!AH33+'3'!AH33+'4'!AH33+'5'!AH33+'6'!AH33+'7'!AH33)/$AC$35</f>
        <v>0</v>
      </c>
      <c r="AI33" s="19">
        <f>('1'!AI33+'2'!AI33+'3'!AI33+'4'!AI33+'5'!AI33+'6'!AI33+'7'!AI33)/$AI$35</f>
        <v>0</v>
      </c>
      <c r="AJ33" s="19">
        <f>('1'!AJ33+'2'!AJ33+'3'!AJ33+'4'!AJ33+'5'!AJ33+'6'!AJ33+'7'!AJ33)/$AI$35</f>
        <v>0</v>
      </c>
      <c r="AK33" s="19">
        <f>('1'!AK33+'2'!AK33+'3'!AK33+'4'!AK33+'5'!AK33+'6'!AK33+'7'!AK33)/$AI$35</f>
        <v>0</v>
      </c>
      <c r="AL33" s="19">
        <f>('1'!AL33+'2'!AL33+'3'!AL33+'4'!AL33+'5'!AL33+'6'!AL33+'7'!AL33)/$AI$35</f>
        <v>0</v>
      </c>
      <c r="AM33" s="19">
        <f>('1'!AM33+'2'!AM33+'3'!AM33+'4'!AM33+'5'!AM33+'6'!AM33+'7'!AM33)/$AI$35</f>
        <v>0.14893617021276595</v>
      </c>
      <c r="AN33" s="81">
        <f>('1'!AN33+'2'!AN33+'3'!AN33+'4'!AN33+'5'!AN33+'6'!AN33+'7'!AN33)/$AI$35</f>
        <v>0</v>
      </c>
    </row>
    <row r="34" spans="2:40" ht="15.75" thickBot="1">
      <c r="B34" s="12" t="s">
        <v>12</v>
      </c>
      <c r="C34" s="19">
        <f>('1'!C34+'2'!C34+'3'!C34+'4'!C34+'5'!C34+'6'!C34+'7'!C34)/$C$35</f>
        <v>3.7735849056603772E-2</v>
      </c>
      <c r="D34" s="19">
        <f>('1'!D34+'2'!D34+'3'!D34+'4'!D34+'5'!D34+'6'!D34+'7'!D34)/$C$35</f>
        <v>0</v>
      </c>
      <c r="E34" s="19">
        <f>('1'!E34+'2'!E34+'3'!E34+'4'!E34+'5'!E34+'6'!E34+'7'!E34)/$C$35</f>
        <v>0</v>
      </c>
      <c r="F34" s="19">
        <f>('1'!F34+'2'!F34+'3'!F34+'4'!F34+'5'!F34+'6'!F34+'7'!F34)/$C$35</f>
        <v>1.8867924528301886E-2</v>
      </c>
      <c r="G34" s="19">
        <f>('1'!G34+'2'!G34+'3'!G34+'4'!G34+'5'!G34+'6'!G34+'7'!G34)/$C$35</f>
        <v>0</v>
      </c>
      <c r="H34" s="19">
        <f>('1'!H34+'2'!H34+'3'!H34+'4'!H34+'5'!H34+'6'!H34+'7'!H34)/$C$35</f>
        <v>0.13207547169811321</v>
      </c>
      <c r="I34" s="19">
        <f>('1'!I34+'2'!I34+'3'!I34+'4'!I34+'5'!I34+'6'!I34+'7'!I34)/$I$35</f>
        <v>4.6875E-2</v>
      </c>
      <c r="J34" s="19">
        <f>('1'!J34+'2'!J34+'3'!J34+'4'!J34+'5'!J34+'6'!J34+'7'!J34)/$I$35</f>
        <v>0</v>
      </c>
      <c r="K34" s="19">
        <f>('1'!K34+'2'!K34+'3'!K34+'4'!K34+'5'!K34+'6'!K34+'7'!K34)/$I$35</f>
        <v>0</v>
      </c>
      <c r="L34" s="19">
        <f>('1'!L34+'2'!L34+'3'!L34+'4'!L34+'5'!L34+'6'!L34+'7'!L34)/$I$35</f>
        <v>6.25E-2</v>
      </c>
      <c r="M34" s="19">
        <f>('1'!M34+'2'!M34+'3'!M34+'4'!M34+'5'!M34+'6'!M34+'7'!M34)/$I$35</f>
        <v>3.125E-2</v>
      </c>
      <c r="N34" s="19">
        <f>('1'!N34+'2'!N34+'3'!N34+'4'!N34+'5'!N34+'6'!N34+'7'!N34)/$I$35</f>
        <v>0.109375</v>
      </c>
      <c r="O34" s="19">
        <f>('1'!O34+'2'!O34+'3'!O34+'4'!O34+'5'!O34+'6'!O34+'7'!O34)/$O$35</f>
        <v>0</v>
      </c>
      <c r="P34" s="19">
        <f>('1'!P34+'2'!P34+'3'!P34+'4'!P34+'5'!P34+'6'!P34+'7'!P34)/$O$35</f>
        <v>0</v>
      </c>
      <c r="Q34" s="19">
        <f>('1'!Q34+'2'!Q34+'3'!Q34+'4'!Q34+'5'!Q34+'6'!Q34+'7'!Q34)/$O$35</f>
        <v>1.9230769230769232E-2</v>
      </c>
      <c r="R34" s="19">
        <f>('1'!R34+'2'!R34+'3'!R34+'4'!R34+'5'!R34+'6'!R34+'7'!R34)/$O$35</f>
        <v>1.9230769230769232E-2</v>
      </c>
      <c r="S34" s="19">
        <f>('1'!S34+'2'!S34+'3'!S34+'4'!S34+'5'!S34+'6'!S34+'7'!S34)/$O$35</f>
        <v>0</v>
      </c>
      <c r="T34" s="81">
        <f>('1'!T34+'2'!T34+'3'!T34+'4'!T34+'5'!T34+'6'!T34+'7'!T34)/$O$35</f>
        <v>0.13461538461538461</v>
      </c>
      <c r="V34" s="12" t="s">
        <v>12</v>
      </c>
      <c r="W34" s="19">
        <f>('1'!W34+'2'!W34+'3'!W34+'4'!W34+'5'!W34+'6'!W34+'7'!W34)/$W$35</f>
        <v>4.0540540540540543E-2</v>
      </c>
      <c r="X34" s="19">
        <f>('1'!X34+'2'!X34+'3'!X34+'4'!X34+'5'!X34+'6'!X34+'7'!X34)/$W$35</f>
        <v>4.0540540540540543E-2</v>
      </c>
      <c r="Y34" s="19">
        <f>('1'!Y34+'2'!Y34+'3'!Y34+'4'!Y34+'5'!Y34+'6'!Y34+'7'!Y34)/$W$35</f>
        <v>4.0540540540540543E-2</v>
      </c>
      <c r="Z34" s="19">
        <f>('1'!Z34+'2'!Z34+'3'!Z34+'4'!Z34+'5'!Z34+'6'!Z34+'7'!Z34)/$W$35</f>
        <v>1.3513513513513514E-2</v>
      </c>
      <c r="AA34" s="19">
        <f>('1'!AA34+'2'!AA34+'3'!AA34+'4'!AA34+'5'!AA34+'6'!AA34+'7'!AA34)/$W$35</f>
        <v>0</v>
      </c>
      <c r="AB34" s="19">
        <f>('1'!AB34+'2'!AB34+'3'!AB34+'4'!AB34+'5'!AB34+'6'!AB34+'7'!AB34)/$W$35</f>
        <v>9.45945945945946E-2</v>
      </c>
      <c r="AC34" s="19">
        <f>('1'!AC34+'2'!AC34+'3'!AC34+'4'!AC34+'5'!AC34+'6'!AC34+'7'!AC34)/$AC$35</f>
        <v>1.2658227848101266E-2</v>
      </c>
      <c r="AD34" s="19">
        <f>('1'!AD34+'2'!AD34+'3'!AD34+'4'!AD34+'5'!AD34+'6'!AD34+'7'!AD34)/$AC$35</f>
        <v>5.0632911392405063E-2</v>
      </c>
      <c r="AE34" s="19">
        <f>('1'!AE34+'2'!AE34+'3'!AE34+'4'!AE34+'5'!AE34+'6'!AE34+'7'!AE34)/$AC$35</f>
        <v>1.2658227848101266E-2</v>
      </c>
      <c r="AF34" s="19">
        <f>('1'!AF34+'2'!AF34+'3'!AF34+'4'!AF34+'5'!AF34+'6'!AF34+'7'!AF34)/$AC$35</f>
        <v>0</v>
      </c>
      <c r="AG34" s="19">
        <f>('1'!AG34+'2'!AG34+'3'!AG34+'4'!AG34+'5'!AG34+'6'!AG34+'7'!AG34)/$AC$35</f>
        <v>0</v>
      </c>
      <c r="AH34" s="19">
        <f>('1'!AH34+'2'!AH34+'3'!AH34+'4'!AH34+'5'!AH34+'6'!AH34+'7'!AH34)/$AC$35</f>
        <v>8.8607594936708861E-2</v>
      </c>
      <c r="AI34" s="19">
        <f>('1'!AI34+'2'!AI34+'3'!AI34+'4'!AI34+'5'!AI34+'6'!AI34+'7'!AI34)/$AI$35</f>
        <v>0</v>
      </c>
      <c r="AJ34" s="19">
        <f>('1'!AJ34+'2'!AJ34+'3'!AJ34+'4'!AJ34+'5'!AJ34+'6'!AJ34+'7'!AJ34)/$AI$35</f>
        <v>0</v>
      </c>
      <c r="AK34" s="19">
        <f>('1'!AK34+'2'!AK34+'3'!AK34+'4'!AK34+'5'!AK34+'6'!AK34+'7'!AK34)/$AI$35</f>
        <v>0</v>
      </c>
      <c r="AL34" s="19">
        <f>('1'!AL34+'2'!AL34+'3'!AL34+'4'!AL34+'5'!AL34+'6'!AL34+'7'!AL34)/$AI$35</f>
        <v>2.1276595744680851E-2</v>
      </c>
      <c r="AM34" s="19">
        <f>('1'!AM34+'2'!AM34+'3'!AM34+'4'!AM34+'5'!AM34+'6'!AM34+'7'!AM34)/$AI$35</f>
        <v>0</v>
      </c>
      <c r="AN34" s="81">
        <f>('1'!AN34+'2'!AN34+'3'!AN34+'4'!AN34+'5'!AN34+'6'!AN34+'7'!AN34)/$AI$35</f>
        <v>0.14893617021276595</v>
      </c>
    </row>
    <row r="35" spans="2:40" ht="15.75" thickBot="1">
      <c r="B35" s="36" t="s">
        <v>26</v>
      </c>
      <c r="C35" s="16">
        <f>('1'!C35+'2'!C35+'3'!C35+'4'!C35+'5'!C35+'6'!C35+'7'!C35)</f>
        <v>53</v>
      </c>
      <c r="D35" s="16">
        <f>('1'!D35+'2'!D35+'3'!D35+'4'!D35+'5'!D35+'6'!D35+'7'!D35)/7</f>
        <v>0</v>
      </c>
      <c r="E35" s="16">
        <f>('1'!E35+'2'!E35+'3'!E35+'4'!E35+'5'!E35+'6'!E35+'7'!E35)/7</f>
        <v>0</v>
      </c>
      <c r="F35" s="16">
        <f>('1'!F35+'2'!F35+'3'!F35+'4'!F35+'5'!F35+'6'!F35+'7'!F35)/7</f>
        <v>0</v>
      </c>
      <c r="G35" s="16">
        <f>('1'!G35+'2'!G35+'3'!G35+'4'!G35+'5'!G35+'6'!G35+'7'!G35)/7</f>
        <v>0</v>
      </c>
      <c r="H35" s="16">
        <f>('1'!H35+'2'!H35+'3'!H35+'4'!H35+'5'!H35+'6'!H35+'7'!H35)/7</f>
        <v>0</v>
      </c>
      <c r="I35" s="16">
        <f>('1'!I35+'2'!I35+'3'!I35+'4'!I35+'5'!I35+'6'!I35+'7'!I35)</f>
        <v>64</v>
      </c>
      <c r="J35" s="16">
        <f>('1'!J35+'2'!J35+'3'!J35+'4'!J35+'5'!J35+'6'!J35+'7'!J35)/7</f>
        <v>0</v>
      </c>
      <c r="K35" s="16">
        <f>('1'!K35+'2'!K35+'3'!K35+'4'!K35+'5'!K35+'6'!K35+'7'!K35)/7</f>
        <v>0</v>
      </c>
      <c r="L35" s="16">
        <f>('1'!L35+'2'!L35+'3'!L35+'4'!L35+'5'!L35+'6'!L35+'7'!L35)/7</f>
        <v>0</v>
      </c>
      <c r="M35" s="16">
        <f>('1'!M35+'2'!M35+'3'!M35+'4'!M35+'5'!M35+'6'!M35+'7'!M35)/7</f>
        <v>0</v>
      </c>
      <c r="N35" s="16">
        <f>('1'!N35+'2'!N35+'3'!N35+'4'!N35+'5'!N35+'6'!N35+'7'!N35)/7</f>
        <v>0</v>
      </c>
      <c r="O35" s="16">
        <f>('1'!O35+'2'!O35+'3'!O35+'4'!O35+'5'!O35+'6'!O35+'7'!O35)</f>
        <v>52</v>
      </c>
      <c r="P35" s="16">
        <f>('1'!P35+'2'!P35+'3'!P35+'4'!P35+'5'!P35+'6'!P35+'7'!P35)/7</f>
        <v>0</v>
      </c>
      <c r="Q35" s="16">
        <f>('1'!Q35+'2'!Q35+'3'!Q35+'4'!Q35+'5'!Q35+'6'!Q35+'7'!Q35)/7</f>
        <v>0</v>
      </c>
      <c r="R35" s="16">
        <f>('1'!R35+'2'!R35+'3'!R35+'4'!R35+'5'!R35+'6'!R35+'7'!R35)/7</f>
        <v>0</v>
      </c>
      <c r="S35" s="16">
        <f>('1'!S35+'2'!S35+'3'!S35+'4'!S35+'5'!S35+'6'!S35+'7'!S35)/7</f>
        <v>0</v>
      </c>
      <c r="T35" s="33">
        <f>('1'!T35+'2'!T35+'3'!T35+'4'!T35+'5'!T35+'6'!T35+'7'!T35)/7</f>
        <v>0</v>
      </c>
      <c r="V35" s="35" t="s">
        <v>26</v>
      </c>
      <c r="W35" s="16">
        <f>('1'!W35+'2'!W35+'3'!W35+'4'!W35+'5'!W35+'6'!W35+'7'!W35)</f>
        <v>74</v>
      </c>
      <c r="X35" s="16">
        <f>('1'!X35+'2'!X35+'3'!X35+'4'!X35+'5'!X35+'6'!X35+'7'!X35)</f>
        <v>0</v>
      </c>
      <c r="Y35" s="16">
        <f>('1'!Y35+'2'!Y35+'3'!Y35+'4'!Y35+'5'!Y35+'6'!Y35+'7'!Y35)</f>
        <v>0</v>
      </c>
      <c r="Z35" s="16">
        <f>('1'!Z35+'2'!Z35+'3'!Z35+'4'!Z35+'5'!Z35+'6'!Z35+'7'!Z35)</f>
        <v>0</v>
      </c>
      <c r="AA35" s="16">
        <f>('1'!AA35+'2'!AA35+'3'!AA35+'4'!AA35+'5'!AA35+'6'!AA35+'7'!AA35)</f>
        <v>0</v>
      </c>
      <c r="AB35" s="16">
        <f>('1'!AB35+'2'!AB35+'3'!AB35+'4'!AB35+'5'!AB35+'6'!AB35+'7'!AB35)</f>
        <v>0</v>
      </c>
      <c r="AC35" s="16">
        <f>('1'!AC35+'2'!AC35+'3'!AC35+'4'!AC35+'5'!AC35+'6'!AC35+'7'!AC35)</f>
        <v>79</v>
      </c>
      <c r="AD35" s="16">
        <f>('1'!AD35+'2'!AD35+'3'!AD35+'4'!AD35+'5'!AD35+'6'!AD35+'7'!AD35)</f>
        <v>0</v>
      </c>
      <c r="AE35" s="16">
        <f>('1'!AE35+'2'!AE35+'3'!AE35+'4'!AE35+'5'!AE35+'6'!AE35+'7'!AE35)</f>
        <v>0</v>
      </c>
      <c r="AF35" s="16">
        <f>('1'!AF35+'2'!AF35+'3'!AF35+'4'!AF35+'5'!AF35+'6'!AF35+'7'!AF35)</f>
        <v>0</v>
      </c>
      <c r="AG35" s="16">
        <f>('1'!AG35+'2'!AG35+'3'!AG35+'4'!AG35+'5'!AG35+'6'!AG35+'7'!AG35)</f>
        <v>0</v>
      </c>
      <c r="AH35" s="16">
        <f>('1'!AH35+'2'!AH35+'3'!AH35+'4'!AH35+'5'!AH35+'6'!AH35+'7'!AH35)</f>
        <v>0</v>
      </c>
      <c r="AI35" s="16">
        <f>('1'!AI35+'2'!AI35+'3'!AI35+'4'!AI35+'5'!AI35+'6'!AI35+'7'!AI35)</f>
        <v>47</v>
      </c>
      <c r="AJ35" s="16">
        <f>('1'!AJ35+'2'!AJ35+'3'!AJ35+'4'!AJ35+'5'!AJ35+'6'!AJ35+'7'!AJ35)</f>
        <v>0</v>
      </c>
      <c r="AK35" s="16">
        <f>('1'!AK35+'2'!AK35+'3'!AK35+'4'!AK35+'5'!AK35+'6'!AK35+'7'!AK35)</f>
        <v>0</v>
      </c>
      <c r="AL35" s="16">
        <f>('1'!AL35+'2'!AL35+'3'!AL35+'4'!AL35+'5'!AL35+'6'!AL35+'7'!AL35)</f>
        <v>0</v>
      </c>
      <c r="AM35" s="16">
        <f>('1'!AM35+'2'!AM35+'3'!AM35+'4'!AM35+'5'!AM35+'6'!AM35+'7'!AM35)</f>
        <v>0</v>
      </c>
      <c r="AN35" s="33">
        <f>('1'!AN35+'2'!AN35+'3'!AN35+'4'!AN35+'5'!AN35+'6'!AN35+'7'!AN35)</f>
        <v>0</v>
      </c>
    </row>
    <row r="36" spans="2:40">
      <c r="C36" s="1">
        <f>SUM(C29:H34)</f>
        <v>0.99999999999999989</v>
      </c>
      <c r="I36" s="1">
        <f>SUM(I29:N34)</f>
        <v>1</v>
      </c>
      <c r="O36" s="1">
        <f>SUM(O29:T34)</f>
        <v>1</v>
      </c>
      <c r="W36" s="1">
        <f>SUM(W29:AB34)</f>
        <v>1</v>
      </c>
      <c r="AC36" s="1">
        <f>SUM(AC29:AH34)</f>
        <v>1</v>
      </c>
      <c r="AI36" s="1">
        <f>SUM(AI29:AN34)</f>
        <v>1</v>
      </c>
    </row>
    <row r="37" spans="2:40" ht="15.75" thickBot="1">
      <c r="C37" s="31"/>
    </row>
    <row r="38" spans="2:40" ht="15.75" thickBot="1">
      <c r="B38" s="82" t="s">
        <v>27</v>
      </c>
      <c r="C38" s="85" t="s">
        <v>20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29</v>
      </c>
      <c r="W38" s="85" t="s">
        <v>20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 ht="15.75" thickBot="1">
      <c r="B41" s="11" t="s">
        <v>7</v>
      </c>
      <c r="C41" s="19">
        <f>('1'!C41+'2'!C41+'3'!C41+'4'!C41+'5'!C41+'6'!C41+'7'!C41)/$C$47</f>
        <v>0.12727272727272726</v>
      </c>
      <c r="D41" s="19">
        <f>('1'!D41+'2'!D41+'3'!D41+'4'!D41+'5'!D41+'6'!D41+'7'!D41)/$C$47</f>
        <v>0</v>
      </c>
      <c r="E41" s="19">
        <f>('1'!E41+'2'!E41+'3'!E41+'4'!E41+'5'!E41+'6'!E41+'7'!E41)/$C$47</f>
        <v>0</v>
      </c>
      <c r="F41" s="19">
        <f>('1'!F41+'2'!F41+'3'!F41+'4'!F41+'5'!F41+'6'!F41+'7'!F41)/$C$47</f>
        <v>5.4545454545454543E-2</v>
      </c>
      <c r="G41" s="19">
        <f>('1'!G41+'2'!G41+'3'!G41+'4'!G41+'5'!G41+'6'!G41+'7'!G41)/$C$47</f>
        <v>1.8181818181818181E-2</v>
      </c>
      <c r="H41" s="19">
        <f>('1'!H41+'2'!H41+'3'!H41+'4'!H41+'5'!H41+'6'!H41+'7'!H41)/$C$47</f>
        <v>0</v>
      </c>
      <c r="I41" s="19">
        <f>('1'!I41+'2'!I41+'3'!I41+'4'!I41+'5'!I41+'6'!I41+'7'!I41)/$I$47</f>
        <v>0.13207547169811321</v>
      </c>
      <c r="J41" s="19">
        <f>('1'!J41+'2'!J41+'3'!J41+'4'!J41+'5'!J41+'6'!J41+'7'!J41)/$I$47</f>
        <v>0</v>
      </c>
      <c r="K41" s="19">
        <f>('1'!K41+'2'!K41+'3'!K41+'4'!K41+'5'!K41+'6'!K41+'7'!K41)/$I$47</f>
        <v>1.8867924528301886E-2</v>
      </c>
      <c r="L41" s="19">
        <f>('1'!L41+'2'!L41+'3'!L41+'4'!L41+'5'!L41+'6'!L41+'7'!L41)/$I$47</f>
        <v>3.7735849056603772E-2</v>
      </c>
      <c r="M41" s="19">
        <f>('1'!M41+'2'!M41+'3'!M41+'4'!M41+'5'!M41+'6'!M41+'7'!M41)/$I$47</f>
        <v>1.8867924528301886E-2</v>
      </c>
      <c r="N41" s="19">
        <f>('1'!N41+'2'!N41+'3'!N41+'4'!N41+'5'!N41+'6'!N41+'7'!N41)/$I$47</f>
        <v>1.8867924528301886E-2</v>
      </c>
      <c r="O41" s="19">
        <f>('1'!O41+'2'!O41+'3'!O41+'4'!O41+'5'!O41+'6'!O41+'7'!O41)/$O$47</f>
        <v>0.14583333333333334</v>
      </c>
      <c r="P41" s="19">
        <f>('1'!P41+'2'!P41+'3'!P41+'4'!P41+'5'!P41+'6'!P41+'7'!P41)/$O$47</f>
        <v>0</v>
      </c>
      <c r="Q41" s="19">
        <f>('1'!Q41+'2'!Q41+'3'!Q41+'4'!Q41+'5'!Q41+'6'!Q41+'7'!Q41)/$O$47</f>
        <v>0</v>
      </c>
      <c r="R41" s="19">
        <f>('1'!R41+'2'!R41+'3'!R41+'4'!R41+'5'!R41+'6'!R41+'7'!R41)/$O$47</f>
        <v>0</v>
      </c>
      <c r="S41" s="19">
        <f>('1'!S41+'2'!S41+'3'!S41+'4'!S41+'5'!S41+'6'!S41+'7'!S41)/$O$47</f>
        <v>2.0833333333333332E-2</v>
      </c>
      <c r="T41" s="81">
        <f>('1'!T41+'2'!T41+'3'!T41+'4'!T41+'5'!T41+'6'!T41+'7'!T41)/$O$47</f>
        <v>0</v>
      </c>
      <c r="V41" s="11" t="s">
        <v>7</v>
      </c>
      <c r="W41" s="19">
        <f>('1'!W41+'2'!W41+'3'!W41+'4'!W41+'5'!W41+'6'!W41+'7'!W41)/$W$47</f>
        <v>9.7222222222222224E-2</v>
      </c>
      <c r="X41" s="19">
        <f>('1'!X41+'2'!X41+'3'!X41+'4'!X41+'5'!X41+'6'!X41+'7'!X41)/$W$47</f>
        <v>0</v>
      </c>
      <c r="Y41" s="19">
        <f>('1'!Y41+'2'!Y41+'3'!Y41+'4'!Y41+'5'!Y41+'6'!Y41+'7'!Y41)/$W$47</f>
        <v>0</v>
      </c>
      <c r="Z41" s="19">
        <f>('1'!Z41+'2'!Z41+'3'!Z41+'4'!Z41+'5'!Z41+'6'!Z41+'7'!Z41)/$W$47</f>
        <v>2.7777777777777776E-2</v>
      </c>
      <c r="AA41" s="19">
        <f>('1'!AA41+'2'!AA41+'3'!AA41+'4'!AA41+'5'!AA41+'6'!AA41+'7'!AA41)/$W$47</f>
        <v>9.7222222222222224E-2</v>
      </c>
      <c r="AB41" s="19">
        <f>('1'!AB41+'2'!AB41+'3'!AB41+'4'!AB41+'5'!AB41+'6'!AB41+'7'!AB41)/$W$47</f>
        <v>0.125</v>
      </c>
      <c r="AC41" s="19">
        <f>('1'!AC41+'2'!AC41+'3'!AC41+'4'!AC41+'5'!AC41+'6'!AC41+'7'!AC41)/$AC$47</f>
        <v>0.12962962962962962</v>
      </c>
      <c r="AD41" s="19">
        <f>('1'!AD41+'2'!AD41+'3'!AD41+'4'!AD41+'5'!AD41+'6'!AD41+'7'!AD41)/$AC$47</f>
        <v>0</v>
      </c>
      <c r="AE41" s="19">
        <f>('1'!AE41+'2'!AE41+'3'!AE41+'4'!AE41+'5'!AE41+'6'!AE41+'7'!AE41)/$AC$47</f>
        <v>3.7037037037037035E-2</v>
      </c>
      <c r="AF41" s="19">
        <f>('1'!AF41+'2'!AF41+'3'!AF41+'4'!AF41+'5'!AF41+'6'!AF41+'7'!AF41)/$AC$47</f>
        <v>0</v>
      </c>
      <c r="AG41" s="19">
        <f>('1'!AG41+'2'!AG41+'3'!AG41+'4'!AG41+'5'!AG41+'6'!AG41+'7'!AG41)/$AC$47</f>
        <v>0</v>
      </c>
      <c r="AH41" s="19">
        <f>('1'!AH41+'2'!AH41+'3'!AH41+'4'!AH41+'5'!AH41+'6'!AH41+'7'!AH41)/$AC$47</f>
        <v>5.5555555555555552E-2</v>
      </c>
      <c r="AI41" s="19">
        <f>('1'!AI41+'2'!AI41+'3'!AI41+'4'!AI41+'5'!AI41+'6'!AI41+'7'!AI41)/$AI$47</f>
        <v>0.16666666666666666</v>
      </c>
      <c r="AJ41" s="19">
        <f>('1'!AJ41+'2'!AJ41+'3'!AJ41+'4'!AJ41+'5'!AJ41+'6'!AJ41+'7'!AJ41)/$AI$47</f>
        <v>0</v>
      </c>
      <c r="AK41" s="19">
        <f>('1'!AK41+'2'!AK41+'3'!AK41+'4'!AK41+'5'!AK41+'6'!AK41+'7'!AK41)/$AI$47</f>
        <v>0</v>
      </c>
      <c r="AL41" s="19">
        <f>('1'!AL41+'2'!AL41+'3'!AL41+'4'!AL41+'5'!AL41+'6'!AL41+'7'!AL41)/$AI$47</f>
        <v>0</v>
      </c>
      <c r="AM41" s="19">
        <f>('1'!AM41+'2'!AM41+'3'!AM41+'4'!AM41+'5'!AM41+'6'!AM41+'7'!AM41)/$AI$47</f>
        <v>0</v>
      </c>
      <c r="AN41" s="81">
        <f>('1'!AN41+'2'!AN41+'3'!AN41+'4'!AN41+'5'!AN41+'6'!AN41+'7'!AN41)/$AI$47</f>
        <v>0</v>
      </c>
    </row>
    <row r="42" spans="2:40" ht="15.75" thickBot="1">
      <c r="B42" s="11" t="s">
        <v>8</v>
      </c>
      <c r="C42" s="19">
        <f>('1'!C42+'2'!C42+'3'!C42+'4'!C42+'5'!C42+'6'!C42+'7'!C42)/$C$47</f>
        <v>0</v>
      </c>
      <c r="D42" s="19">
        <f>('1'!D42+'2'!D42+'3'!D42+'4'!D42+'5'!D42+'6'!D42+'7'!D42)/$C$47</f>
        <v>0.12727272727272726</v>
      </c>
      <c r="E42" s="19">
        <f>('1'!E42+'2'!E42+'3'!E42+'4'!E42+'5'!E42+'6'!E42+'7'!E42)/$C$47</f>
        <v>0</v>
      </c>
      <c r="F42" s="19">
        <f>('1'!F42+'2'!F42+'3'!F42+'4'!F42+'5'!F42+'6'!F42+'7'!F42)/$C$47</f>
        <v>0</v>
      </c>
      <c r="G42" s="19">
        <f>('1'!G42+'2'!G42+'3'!G42+'4'!G42+'5'!G42+'6'!G42+'7'!G42)/$C$47</f>
        <v>0</v>
      </c>
      <c r="H42" s="19">
        <f>('1'!H42+'2'!H42+'3'!H42+'4'!H42+'5'!H42+'6'!H42+'7'!H42)/$C$47</f>
        <v>0</v>
      </c>
      <c r="I42" s="19">
        <f>('1'!I42+'2'!I42+'3'!I42+'4'!I42+'5'!I42+'6'!I42+'7'!I42)/$I$47</f>
        <v>0</v>
      </c>
      <c r="J42" s="19">
        <f>('1'!J42+'2'!J42+'3'!J42+'4'!J42+'5'!J42+'6'!J42+'7'!J42)/$I$47</f>
        <v>0.13207547169811321</v>
      </c>
      <c r="K42" s="19">
        <f>('1'!K42+'2'!K42+'3'!K42+'4'!K42+'5'!K42+'6'!K42+'7'!K42)/$I$47</f>
        <v>0</v>
      </c>
      <c r="L42" s="19">
        <f>('1'!L42+'2'!L42+'3'!L42+'4'!L42+'5'!L42+'6'!L42+'7'!L42)/$I$47</f>
        <v>0</v>
      </c>
      <c r="M42" s="19">
        <f>('1'!M42+'2'!M42+'3'!M42+'4'!M42+'5'!M42+'6'!M42+'7'!M42)/$I$47</f>
        <v>0</v>
      </c>
      <c r="N42" s="19">
        <f>('1'!N42+'2'!N42+'3'!N42+'4'!N42+'5'!N42+'6'!N42+'7'!N42)/$I$47</f>
        <v>0</v>
      </c>
      <c r="O42" s="19">
        <f>('1'!O42+'2'!O42+'3'!O42+'4'!O42+'5'!O42+'6'!O42+'7'!O42)/$O$47</f>
        <v>0</v>
      </c>
      <c r="P42" s="19">
        <f>('1'!P42+'2'!P42+'3'!P42+'4'!P42+'5'!P42+'6'!P42+'7'!P42)/$O$47</f>
        <v>0.14583333333333334</v>
      </c>
      <c r="Q42" s="19">
        <f>('1'!Q42+'2'!Q42+'3'!Q42+'4'!Q42+'5'!Q42+'6'!Q42+'7'!Q42)/$O$47</f>
        <v>0</v>
      </c>
      <c r="R42" s="19">
        <f>('1'!R42+'2'!R42+'3'!R42+'4'!R42+'5'!R42+'6'!R42+'7'!R42)/$O$47</f>
        <v>0</v>
      </c>
      <c r="S42" s="19">
        <f>('1'!S42+'2'!S42+'3'!S42+'4'!S42+'5'!S42+'6'!S42+'7'!S42)/$O$47</f>
        <v>0</v>
      </c>
      <c r="T42" s="81">
        <f>('1'!T42+'2'!T42+'3'!T42+'4'!T42+'5'!T42+'6'!T42+'7'!T42)/$O$47</f>
        <v>0</v>
      </c>
      <c r="V42" s="11" t="s">
        <v>8</v>
      </c>
      <c r="W42" s="19">
        <f>('1'!W42+'2'!W42+'3'!W42+'4'!W42+'5'!W42+'6'!W42+'7'!W42)/$W$47</f>
        <v>0</v>
      </c>
      <c r="X42" s="19">
        <f>('1'!X42+'2'!X42+'3'!X42+'4'!X42+'5'!X42+'6'!X42+'7'!X42)/$W$47</f>
        <v>9.7222222222222224E-2</v>
      </c>
      <c r="Y42" s="19">
        <f>('1'!Y42+'2'!Y42+'3'!Y42+'4'!Y42+'5'!Y42+'6'!Y42+'7'!Y42)/$W$47</f>
        <v>0</v>
      </c>
      <c r="Z42" s="19">
        <f>('1'!Z42+'2'!Z42+'3'!Z42+'4'!Z42+'5'!Z42+'6'!Z42+'7'!Z42)/$W$47</f>
        <v>0</v>
      </c>
      <c r="AA42" s="19">
        <f>('1'!AA42+'2'!AA42+'3'!AA42+'4'!AA42+'5'!AA42+'6'!AA42+'7'!AA42)/$W$47</f>
        <v>0</v>
      </c>
      <c r="AB42" s="19">
        <f>('1'!AB42+'2'!AB42+'3'!AB42+'4'!AB42+'5'!AB42+'6'!AB42+'7'!AB42)/$W$47</f>
        <v>0</v>
      </c>
      <c r="AC42" s="19">
        <f>('1'!AC42+'2'!AC42+'3'!AC42+'4'!AC42+'5'!AC42+'6'!AC42+'7'!AC42)/$AC$47</f>
        <v>0</v>
      </c>
      <c r="AD42" s="19">
        <f>('1'!AD42+'2'!AD42+'3'!AD42+'4'!AD42+'5'!AD42+'6'!AD42+'7'!AD42)/$AC$47</f>
        <v>0.12962962962962962</v>
      </c>
      <c r="AE42" s="19">
        <f>('1'!AE42+'2'!AE42+'3'!AE42+'4'!AE42+'5'!AE42+'6'!AE42+'7'!AE42)/$AC$47</f>
        <v>0</v>
      </c>
      <c r="AF42" s="19">
        <f>('1'!AF42+'2'!AF42+'3'!AF42+'4'!AF42+'5'!AF42+'6'!AF42+'7'!AF42)/$AC$47</f>
        <v>0</v>
      </c>
      <c r="AG42" s="19">
        <f>('1'!AG42+'2'!AG42+'3'!AG42+'4'!AG42+'5'!AG42+'6'!AG42+'7'!AG42)/$AC$47</f>
        <v>0</v>
      </c>
      <c r="AH42" s="19">
        <f>('1'!AH42+'2'!AH42+'3'!AH42+'4'!AH42+'5'!AH42+'6'!AH42+'7'!AH42)/$AC$47</f>
        <v>0</v>
      </c>
      <c r="AI42" s="19">
        <f>('1'!AI42+'2'!AI42+'3'!AI42+'4'!AI42+'5'!AI42+'6'!AI42+'7'!AI42)/$AI$47</f>
        <v>0</v>
      </c>
      <c r="AJ42" s="19">
        <f>('1'!AJ42+'2'!AJ42+'3'!AJ42+'4'!AJ42+'5'!AJ42+'6'!AJ42+'7'!AJ42)/$AI$47</f>
        <v>0.16666666666666666</v>
      </c>
      <c r="AK42" s="19">
        <f>('1'!AK42+'2'!AK42+'3'!AK42+'4'!AK42+'5'!AK42+'6'!AK42+'7'!AK42)/$AI$47</f>
        <v>0</v>
      </c>
      <c r="AL42" s="19">
        <f>('1'!AL42+'2'!AL42+'3'!AL42+'4'!AL42+'5'!AL42+'6'!AL42+'7'!AL42)/$AI$47</f>
        <v>0</v>
      </c>
      <c r="AM42" s="19">
        <f>('1'!AM42+'2'!AM42+'3'!AM42+'4'!AM42+'5'!AM42+'6'!AM42+'7'!AM42)/$AI$47</f>
        <v>0</v>
      </c>
      <c r="AN42" s="81">
        <f>('1'!AN42+'2'!AN42+'3'!AN42+'4'!AN42+'5'!AN42+'6'!AN42+'7'!AN42)/$AI$47</f>
        <v>0</v>
      </c>
    </row>
    <row r="43" spans="2:40" ht="15.75" thickBot="1">
      <c r="B43" s="11" t="s">
        <v>9</v>
      </c>
      <c r="C43" s="19">
        <f>('1'!C43+'2'!C43+'3'!C43+'4'!C43+'5'!C43+'6'!C43+'7'!C43)/$C$47</f>
        <v>1.8181818181818181E-2</v>
      </c>
      <c r="D43" s="19">
        <f>('1'!D43+'2'!D43+'3'!D43+'4'!D43+'5'!D43+'6'!D43+'7'!D43)/$C$47</f>
        <v>0</v>
      </c>
      <c r="E43" s="19">
        <f>('1'!E43+'2'!E43+'3'!E43+'4'!E43+'5'!E43+'6'!E43+'7'!E43)/$C$47</f>
        <v>0.12727272727272726</v>
      </c>
      <c r="F43" s="19">
        <f>('1'!F43+'2'!F43+'3'!F43+'4'!F43+'5'!F43+'6'!F43+'7'!F43)/$C$47</f>
        <v>0</v>
      </c>
      <c r="G43" s="19">
        <f>('1'!G43+'2'!G43+'3'!G43+'4'!G43+'5'!G43+'6'!G43+'7'!G43)/$C$47</f>
        <v>0</v>
      </c>
      <c r="H43" s="19">
        <f>('1'!H43+'2'!H43+'3'!H43+'4'!H43+'5'!H43+'6'!H43+'7'!H43)/$C$47</f>
        <v>3.6363636363636362E-2</v>
      </c>
      <c r="I43" s="19">
        <f>('1'!I43+'2'!I43+'3'!I43+'4'!I43+'5'!I43+'6'!I43+'7'!I43)/$I$47</f>
        <v>1.8867924528301886E-2</v>
      </c>
      <c r="J43" s="19">
        <f>('1'!J43+'2'!J43+'3'!J43+'4'!J43+'5'!J43+'6'!J43+'7'!J43)/$I$47</f>
        <v>0</v>
      </c>
      <c r="K43" s="19">
        <f>('1'!K43+'2'!K43+'3'!K43+'4'!K43+'5'!K43+'6'!K43+'7'!K43)/$I$47</f>
        <v>0.13207547169811321</v>
      </c>
      <c r="L43" s="19">
        <f>('1'!L43+'2'!L43+'3'!L43+'4'!L43+'5'!L43+'6'!L43+'7'!L43)/$I$47</f>
        <v>0</v>
      </c>
      <c r="M43" s="19">
        <f>('1'!M43+'2'!M43+'3'!M43+'4'!M43+'5'!M43+'6'!M43+'7'!M43)/$I$47</f>
        <v>0</v>
      </c>
      <c r="N43" s="19">
        <f>('1'!N43+'2'!N43+'3'!N43+'4'!N43+'5'!N43+'6'!N43+'7'!N43)/$I$47</f>
        <v>0</v>
      </c>
      <c r="O43" s="19">
        <f>('1'!O43+'2'!O43+'3'!O43+'4'!O43+'5'!O43+'6'!O43+'7'!O43)/$O$47</f>
        <v>0</v>
      </c>
      <c r="P43" s="19">
        <f>('1'!P43+'2'!P43+'3'!P43+'4'!P43+'5'!P43+'6'!P43+'7'!P43)/$O$47</f>
        <v>0</v>
      </c>
      <c r="Q43" s="19">
        <f>('1'!Q43+'2'!Q43+'3'!Q43+'4'!Q43+'5'!Q43+'6'!Q43+'7'!Q43)/$O$47</f>
        <v>0.14583333333333334</v>
      </c>
      <c r="R43" s="19">
        <f>('1'!R43+'2'!R43+'3'!R43+'4'!R43+'5'!R43+'6'!R43+'7'!R43)/$O$47</f>
        <v>0</v>
      </c>
      <c r="S43" s="19">
        <f>('1'!S43+'2'!S43+'3'!S43+'4'!S43+'5'!S43+'6'!S43+'7'!S43)/$O$47</f>
        <v>0</v>
      </c>
      <c r="T43" s="81">
        <f>('1'!T43+'2'!T43+'3'!T43+'4'!T43+'5'!T43+'6'!T43+'7'!T43)/$O$47</f>
        <v>2.0833333333333332E-2</v>
      </c>
      <c r="V43" s="11" t="s">
        <v>9</v>
      </c>
      <c r="W43" s="19">
        <f>('1'!W43+'2'!W43+'3'!W43+'4'!W43+'5'!W43+'6'!W43+'7'!W43)/$W$47</f>
        <v>0</v>
      </c>
      <c r="X43" s="19">
        <f>('1'!X43+'2'!X43+'3'!X43+'4'!X43+'5'!X43+'6'!X43+'7'!X43)/$W$47</f>
        <v>0</v>
      </c>
      <c r="Y43" s="19">
        <f>('1'!Y43+'2'!Y43+'3'!Y43+'4'!Y43+'5'!Y43+'6'!Y43+'7'!Y43)/$W$47</f>
        <v>9.7222222222222224E-2</v>
      </c>
      <c r="Z43" s="19">
        <f>('1'!Z43+'2'!Z43+'3'!Z43+'4'!Z43+'5'!Z43+'6'!Z43+'7'!Z43)/$W$47</f>
        <v>0</v>
      </c>
      <c r="AA43" s="19">
        <f>('1'!AA43+'2'!AA43+'3'!AA43+'4'!AA43+'5'!AA43+'6'!AA43+'7'!AA43)/$W$47</f>
        <v>0</v>
      </c>
      <c r="AB43" s="19">
        <f>('1'!AB43+'2'!AB43+'3'!AB43+'4'!AB43+'5'!AB43+'6'!AB43+'7'!AB43)/$W$47</f>
        <v>0</v>
      </c>
      <c r="AC43" s="19">
        <f>('1'!AC43+'2'!AC43+'3'!AC43+'4'!AC43+'5'!AC43+'6'!AC43+'7'!AC43)/$AC$47</f>
        <v>0</v>
      </c>
      <c r="AD43" s="19">
        <f>('1'!AD43+'2'!AD43+'3'!AD43+'4'!AD43+'5'!AD43+'6'!AD43+'7'!AD43)/$AC$47</f>
        <v>0</v>
      </c>
      <c r="AE43" s="19">
        <f>('1'!AE43+'2'!AE43+'3'!AE43+'4'!AE43+'5'!AE43+'6'!AE43+'7'!AE43)/$AC$47</f>
        <v>0.12962962962962962</v>
      </c>
      <c r="AF43" s="19">
        <f>('1'!AF43+'2'!AF43+'3'!AF43+'4'!AF43+'5'!AF43+'6'!AF43+'7'!AF43)/$AC$47</f>
        <v>0</v>
      </c>
      <c r="AG43" s="19">
        <f>('1'!AG43+'2'!AG43+'3'!AG43+'4'!AG43+'5'!AG43+'6'!AG43+'7'!AG43)/$AC$47</f>
        <v>0</v>
      </c>
      <c r="AH43" s="19">
        <f>('1'!AH43+'2'!AH43+'3'!AH43+'4'!AH43+'5'!AH43+'6'!AH43+'7'!AH43)/$AC$47</f>
        <v>3.7037037037037035E-2</v>
      </c>
      <c r="AI43" s="19">
        <f>('1'!AI43+'2'!AI43+'3'!AI43+'4'!AI43+'5'!AI43+'6'!AI43+'7'!AI43)/$AI$47</f>
        <v>0</v>
      </c>
      <c r="AJ43" s="19">
        <f>('1'!AJ43+'2'!AJ43+'3'!AJ43+'4'!AJ43+'5'!AJ43+'6'!AJ43+'7'!AJ43)/$AI$47</f>
        <v>0</v>
      </c>
      <c r="AK43" s="19">
        <f>('1'!AK43+'2'!AK43+'3'!AK43+'4'!AK43+'5'!AK43+'6'!AK43+'7'!AK43)/$AI$47</f>
        <v>0.16666666666666666</v>
      </c>
      <c r="AL43" s="19">
        <f>('1'!AL43+'2'!AL43+'3'!AL43+'4'!AL43+'5'!AL43+'6'!AL43+'7'!AL43)/$AI$47</f>
        <v>0</v>
      </c>
      <c r="AM43" s="19">
        <f>('1'!AM43+'2'!AM43+'3'!AM43+'4'!AM43+'5'!AM43+'6'!AM43+'7'!AM43)/$AI$47</f>
        <v>0</v>
      </c>
      <c r="AN43" s="81">
        <f>('1'!AN43+'2'!AN43+'3'!AN43+'4'!AN43+'5'!AN43+'6'!AN43+'7'!AN43)/$AI$47</f>
        <v>0</v>
      </c>
    </row>
    <row r="44" spans="2:40" ht="15.75" thickBot="1">
      <c r="B44" s="11" t="s">
        <v>10</v>
      </c>
      <c r="C44" s="19">
        <f>('1'!C44+'2'!C44+'3'!C44+'4'!C44+'5'!C44+'6'!C44+'7'!C44)/$C$47</f>
        <v>3.6363636363636362E-2</v>
      </c>
      <c r="D44" s="19">
        <f>('1'!D44+'2'!D44+'3'!D44+'4'!D44+'5'!D44+'6'!D44+'7'!D44)/$C$47</f>
        <v>0</v>
      </c>
      <c r="E44" s="19">
        <f>('1'!E44+'2'!E44+'3'!E44+'4'!E44+'5'!E44+'6'!E44+'7'!E44)/$C$47</f>
        <v>0</v>
      </c>
      <c r="F44" s="19">
        <f>('1'!F44+'2'!F44+'3'!F44+'4'!F44+'5'!F44+'6'!F44+'7'!F44)/$C$47</f>
        <v>0.12727272727272726</v>
      </c>
      <c r="G44" s="19">
        <f>('1'!G44+'2'!G44+'3'!G44+'4'!G44+'5'!G44+'6'!G44+'7'!G44)/$C$47</f>
        <v>0</v>
      </c>
      <c r="H44" s="19">
        <f>('1'!H44+'2'!H44+'3'!H44+'4'!H44+'5'!H44+'6'!H44+'7'!H44)/$C$47</f>
        <v>0</v>
      </c>
      <c r="I44" s="19">
        <f>('1'!I44+'2'!I44+'3'!I44+'4'!I44+'5'!I44+'6'!I44+'7'!I44)/$I$47</f>
        <v>1.8867924528301886E-2</v>
      </c>
      <c r="J44" s="19">
        <f>('1'!J44+'2'!J44+'3'!J44+'4'!J44+'5'!J44+'6'!J44+'7'!J44)/$I$47</f>
        <v>0</v>
      </c>
      <c r="K44" s="19">
        <f>('1'!K44+'2'!K44+'3'!K44+'4'!K44+'5'!K44+'6'!K44+'7'!K44)/$I$47</f>
        <v>0</v>
      </c>
      <c r="L44" s="19">
        <f>('1'!L44+'2'!L44+'3'!L44+'4'!L44+'5'!L44+'6'!L44+'7'!L44)/$I$47</f>
        <v>0.13207547169811321</v>
      </c>
      <c r="M44" s="19">
        <f>('1'!M44+'2'!M44+'3'!M44+'4'!M44+'5'!M44+'6'!M44+'7'!M44)/$I$47</f>
        <v>0</v>
      </c>
      <c r="N44" s="19">
        <f>('1'!N44+'2'!N44+'3'!N44+'4'!N44+'5'!N44+'6'!N44+'7'!N44)/$I$47</f>
        <v>1.8867924528301886E-2</v>
      </c>
      <c r="O44" s="19">
        <f>('1'!O44+'2'!O44+'3'!O44+'4'!O44+'5'!O44+'6'!O44+'7'!O44)/$O$47</f>
        <v>2.0833333333333332E-2</v>
      </c>
      <c r="P44" s="19">
        <f>('1'!P44+'2'!P44+'3'!P44+'4'!P44+'5'!P44+'6'!P44+'7'!P44)/$O$47</f>
        <v>0</v>
      </c>
      <c r="Q44" s="19">
        <f>('1'!Q44+'2'!Q44+'3'!Q44+'4'!Q44+'5'!Q44+'6'!Q44+'7'!Q44)/$O$47</f>
        <v>0</v>
      </c>
      <c r="R44" s="19">
        <f>('1'!R44+'2'!R44+'3'!R44+'4'!R44+'5'!R44+'6'!R44+'7'!R44)/$O$47</f>
        <v>0.14583333333333334</v>
      </c>
      <c r="S44" s="19">
        <f>('1'!S44+'2'!S44+'3'!S44+'4'!S44+'5'!S44+'6'!S44+'7'!S44)/$O$47</f>
        <v>0</v>
      </c>
      <c r="T44" s="81">
        <f>('1'!T44+'2'!T44+'3'!T44+'4'!T44+'5'!T44+'6'!T44+'7'!T44)/$O$47</f>
        <v>2.0833333333333332E-2</v>
      </c>
      <c r="V44" s="11" t="s">
        <v>10</v>
      </c>
      <c r="W44" s="19">
        <f>('1'!W44+'2'!W44+'3'!W44+'4'!W44+'5'!W44+'6'!W44+'7'!W44)/$W$47</f>
        <v>1.3888888888888888E-2</v>
      </c>
      <c r="X44" s="19">
        <f>('1'!X44+'2'!X44+'3'!X44+'4'!X44+'5'!X44+'6'!X44+'7'!X44)/$W$47</f>
        <v>0</v>
      </c>
      <c r="Y44" s="19">
        <f>('1'!Y44+'2'!Y44+'3'!Y44+'4'!Y44+'5'!Y44+'6'!Y44+'7'!Y44)/$W$47</f>
        <v>0</v>
      </c>
      <c r="Z44" s="19">
        <f>('1'!Z44+'2'!Z44+'3'!Z44+'4'!Z44+'5'!Z44+'6'!Z44+'7'!Z44)/$W$47</f>
        <v>9.7222222222222224E-2</v>
      </c>
      <c r="AA44" s="19">
        <f>('1'!AA44+'2'!AA44+'3'!AA44+'4'!AA44+'5'!AA44+'6'!AA44+'7'!AA44)/$W$47</f>
        <v>0</v>
      </c>
      <c r="AB44" s="19">
        <f>('1'!AB44+'2'!AB44+'3'!AB44+'4'!AB44+'5'!AB44+'6'!AB44+'7'!AB44)/$W$47</f>
        <v>0</v>
      </c>
      <c r="AC44" s="19">
        <f>('1'!AC44+'2'!AC44+'3'!AC44+'4'!AC44+'5'!AC44+'6'!AC44+'7'!AC44)/$AC$47</f>
        <v>0</v>
      </c>
      <c r="AD44" s="19">
        <f>('1'!AD44+'2'!AD44+'3'!AD44+'4'!AD44+'5'!AD44+'6'!AD44+'7'!AD44)/$AC$47</f>
        <v>0</v>
      </c>
      <c r="AE44" s="19">
        <f>('1'!AE44+'2'!AE44+'3'!AE44+'4'!AE44+'5'!AE44+'6'!AE44+'7'!AE44)/$AC$47</f>
        <v>0</v>
      </c>
      <c r="AF44" s="19">
        <f>('1'!AF44+'2'!AF44+'3'!AF44+'4'!AF44+'5'!AF44+'6'!AF44+'7'!AF44)/$AC$47</f>
        <v>0.12962962962962962</v>
      </c>
      <c r="AG44" s="19">
        <f>('1'!AG44+'2'!AG44+'3'!AG44+'4'!AG44+'5'!AG44+'6'!AG44+'7'!AG44)/$AC$47</f>
        <v>0</v>
      </c>
      <c r="AH44" s="19">
        <f>('1'!AH44+'2'!AH44+'3'!AH44+'4'!AH44+'5'!AH44+'6'!AH44+'7'!AH44)/$AC$47</f>
        <v>0</v>
      </c>
      <c r="AI44" s="19">
        <f>('1'!AI44+'2'!AI44+'3'!AI44+'4'!AI44+'5'!AI44+'6'!AI44+'7'!AI44)/$AI$47</f>
        <v>0</v>
      </c>
      <c r="AJ44" s="19">
        <f>('1'!AJ44+'2'!AJ44+'3'!AJ44+'4'!AJ44+'5'!AJ44+'6'!AJ44+'7'!AJ44)/$AI$47</f>
        <v>0</v>
      </c>
      <c r="AK44" s="19">
        <f>('1'!AK44+'2'!AK44+'3'!AK44+'4'!AK44+'5'!AK44+'6'!AK44+'7'!AK44)/$AI$47</f>
        <v>0</v>
      </c>
      <c r="AL44" s="19">
        <f>('1'!AL44+'2'!AL44+'3'!AL44+'4'!AL44+'5'!AL44+'6'!AL44+'7'!AL44)/$AI$47</f>
        <v>0.16666666666666666</v>
      </c>
      <c r="AM44" s="19">
        <f>('1'!AM44+'2'!AM44+'3'!AM44+'4'!AM44+'5'!AM44+'6'!AM44+'7'!AM44)/$AI$47</f>
        <v>0</v>
      </c>
      <c r="AN44" s="81">
        <f>('1'!AN44+'2'!AN44+'3'!AN44+'4'!AN44+'5'!AN44+'6'!AN44+'7'!AN44)/$AI$47</f>
        <v>0</v>
      </c>
    </row>
    <row r="45" spans="2:40" ht="15.75" thickBot="1">
      <c r="B45" s="11" t="s">
        <v>11</v>
      </c>
      <c r="C45" s="19">
        <f>('1'!C45+'2'!C45+'3'!C45+'4'!C45+'5'!C45+'6'!C45+'7'!C45)/$C$47</f>
        <v>1.8181818181818181E-2</v>
      </c>
      <c r="D45" s="19">
        <f>('1'!D45+'2'!D45+'3'!D45+'4'!D45+'5'!D45+'6'!D45+'7'!D45)/$C$47</f>
        <v>0</v>
      </c>
      <c r="E45" s="19">
        <f>('1'!E45+'2'!E45+'3'!E45+'4'!E45+'5'!E45+'6'!E45+'7'!E45)/$C$47</f>
        <v>0</v>
      </c>
      <c r="F45" s="19">
        <f>('1'!F45+'2'!F45+'3'!F45+'4'!F45+'5'!F45+'6'!F45+'7'!F45)/$C$47</f>
        <v>0</v>
      </c>
      <c r="G45" s="19">
        <f>('1'!G45+'2'!G45+'3'!G45+'4'!G45+'5'!G45+'6'!G45+'7'!G45)/$C$47</f>
        <v>0.12727272727272726</v>
      </c>
      <c r="H45" s="19">
        <f>('1'!H45+'2'!H45+'3'!H45+'4'!H45+'5'!H45+'6'!H45+'7'!H45)/$C$47</f>
        <v>0</v>
      </c>
      <c r="I45" s="19">
        <f>('1'!I45+'2'!I45+'3'!I45+'4'!I45+'5'!I45+'6'!I45+'7'!I45)/$I$47</f>
        <v>3.7735849056603772E-2</v>
      </c>
      <c r="J45" s="19">
        <f>('1'!J45+'2'!J45+'3'!J45+'4'!J45+'5'!J45+'6'!J45+'7'!J45)/$I$47</f>
        <v>0</v>
      </c>
      <c r="K45" s="19">
        <f>('1'!K45+'2'!K45+'3'!K45+'4'!K45+'5'!K45+'6'!K45+'7'!K45)/$I$47</f>
        <v>0</v>
      </c>
      <c r="L45" s="19">
        <f>('1'!L45+'2'!L45+'3'!L45+'4'!L45+'5'!L45+'6'!L45+'7'!L45)/$I$47</f>
        <v>0</v>
      </c>
      <c r="M45" s="19">
        <f>('1'!M45+'2'!M45+'3'!M45+'4'!M45+'5'!M45+'6'!M45+'7'!M45)/$I$47</f>
        <v>0.13207547169811321</v>
      </c>
      <c r="N45" s="19">
        <f>('1'!N45+'2'!N45+'3'!N45+'4'!N45+'5'!N45+'6'!N45+'7'!N45)/$I$47</f>
        <v>0</v>
      </c>
      <c r="O45" s="19">
        <f>('1'!O45+'2'!O45+'3'!O45+'4'!O45+'5'!O45+'6'!O45+'7'!O45)/$O$47</f>
        <v>0</v>
      </c>
      <c r="P45" s="19">
        <f>('1'!P45+'2'!P45+'3'!P45+'4'!P45+'5'!P45+'6'!P45+'7'!P45)/$O$47</f>
        <v>0</v>
      </c>
      <c r="Q45" s="19">
        <f>('1'!Q45+'2'!Q45+'3'!Q45+'4'!Q45+'5'!Q45+'6'!Q45+'7'!Q45)/$O$47</f>
        <v>0</v>
      </c>
      <c r="R45" s="19">
        <f>('1'!R45+'2'!R45+'3'!R45+'4'!R45+'5'!R45+'6'!R45+'7'!R45)/$O$47</f>
        <v>0</v>
      </c>
      <c r="S45" s="19">
        <f>('1'!S45+'2'!S45+'3'!S45+'4'!S45+'5'!S45+'6'!S45+'7'!S45)/$O$47</f>
        <v>0.14583333333333334</v>
      </c>
      <c r="T45" s="81">
        <f>('1'!T45+'2'!T45+'3'!T45+'4'!T45+'5'!T45+'6'!T45+'7'!T45)/$O$47</f>
        <v>0</v>
      </c>
      <c r="V45" s="11" t="s">
        <v>11</v>
      </c>
      <c r="W45" s="19">
        <f>('1'!W45+'2'!W45+'3'!W45+'4'!W45+'5'!W45+'6'!W45+'7'!W45)/$W$47</f>
        <v>9.7222222222222224E-2</v>
      </c>
      <c r="X45" s="19">
        <f>('1'!X45+'2'!X45+'3'!X45+'4'!X45+'5'!X45+'6'!X45+'7'!X45)/$W$47</f>
        <v>0</v>
      </c>
      <c r="Y45" s="19">
        <f>('1'!Y45+'2'!Y45+'3'!Y45+'4'!Y45+'5'!Y45+'6'!Y45+'7'!Y45)/$W$47</f>
        <v>0</v>
      </c>
      <c r="Z45" s="19">
        <f>('1'!Z45+'2'!Z45+'3'!Z45+'4'!Z45+'5'!Z45+'6'!Z45+'7'!Z45)/$W$47</f>
        <v>0</v>
      </c>
      <c r="AA45" s="19">
        <f>('1'!AA45+'2'!AA45+'3'!AA45+'4'!AA45+'5'!AA45+'6'!AA45+'7'!AA45)/$W$47</f>
        <v>9.7222222222222224E-2</v>
      </c>
      <c r="AB45" s="19">
        <f>('1'!AB45+'2'!AB45+'3'!AB45+'4'!AB45+'5'!AB45+'6'!AB45+'7'!AB45)/$W$47</f>
        <v>0</v>
      </c>
      <c r="AC45" s="19">
        <f>('1'!AC45+'2'!AC45+'3'!AC45+'4'!AC45+'5'!AC45+'6'!AC45+'7'!AC45)/$AC$47</f>
        <v>0</v>
      </c>
      <c r="AD45" s="19">
        <f>('1'!AD45+'2'!AD45+'3'!AD45+'4'!AD45+'5'!AD45+'6'!AD45+'7'!AD45)/$AC$47</f>
        <v>0</v>
      </c>
      <c r="AE45" s="19">
        <f>('1'!AE45+'2'!AE45+'3'!AE45+'4'!AE45+'5'!AE45+'6'!AE45+'7'!AE45)/$AC$47</f>
        <v>0</v>
      </c>
      <c r="AF45" s="19">
        <f>('1'!AF45+'2'!AF45+'3'!AF45+'4'!AF45+'5'!AF45+'6'!AF45+'7'!AF45)/$AC$47</f>
        <v>0</v>
      </c>
      <c r="AG45" s="19">
        <f>('1'!AG45+'2'!AG45+'3'!AG45+'4'!AG45+'5'!AG45+'6'!AG45+'7'!AG45)/$AC$47</f>
        <v>0.12962962962962962</v>
      </c>
      <c r="AH45" s="19">
        <f>('1'!AH45+'2'!AH45+'3'!AH45+'4'!AH45+'5'!AH45+'6'!AH45+'7'!AH45)/$AC$47</f>
        <v>0</v>
      </c>
      <c r="AI45" s="19">
        <f>('1'!AI45+'2'!AI45+'3'!AI45+'4'!AI45+'5'!AI45+'6'!AI45+'7'!AI45)/$AI$47</f>
        <v>0</v>
      </c>
      <c r="AJ45" s="19">
        <f>('1'!AJ45+'2'!AJ45+'3'!AJ45+'4'!AJ45+'5'!AJ45+'6'!AJ45+'7'!AJ45)/$AI$47</f>
        <v>0</v>
      </c>
      <c r="AK45" s="19">
        <f>('1'!AK45+'2'!AK45+'3'!AK45+'4'!AK45+'5'!AK45+'6'!AK45+'7'!AK45)/$AI$47</f>
        <v>0</v>
      </c>
      <c r="AL45" s="19">
        <f>('1'!AL45+'2'!AL45+'3'!AL45+'4'!AL45+'5'!AL45+'6'!AL45+'7'!AL45)/$AI$47</f>
        <v>0</v>
      </c>
      <c r="AM45" s="19">
        <f>('1'!AM45+'2'!AM45+'3'!AM45+'4'!AM45+'5'!AM45+'6'!AM45+'7'!AM45)/$AI$47</f>
        <v>0.16666666666666666</v>
      </c>
      <c r="AN45" s="81">
        <f>('1'!AN45+'2'!AN45+'3'!AN45+'4'!AN45+'5'!AN45+'6'!AN45+'7'!AN45)/$AI$47</f>
        <v>0</v>
      </c>
    </row>
    <row r="46" spans="2:40" ht="15.75" thickBot="1">
      <c r="B46" s="12" t="s">
        <v>12</v>
      </c>
      <c r="C46" s="19">
        <f>('1'!C46+'2'!C46+'3'!C46+'4'!C46+'5'!C46+'6'!C46+'7'!C46)/$C$47</f>
        <v>1.8181818181818181E-2</v>
      </c>
      <c r="D46" s="19">
        <f>('1'!D46+'2'!D46+'3'!D46+'4'!D46+'5'!D46+'6'!D46+'7'!D46)/$C$47</f>
        <v>0</v>
      </c>
      <c r="E46" s="19">
        <f>('1'!E46+'2'!E46+'3'!E46+'4'!E46+'5'!E46+'6'!E46+'7'!E46)/$C$47</f>
        <v>3.6363636363636362E-2</v>
      </c>
      <c r="F46" s="19">
        <f>('1'!F46+'2'!F46+'3'!F46+'4'!F46+'5'!F46+'6'!F46+'7'!F46)/$C$47</f>
        <v>0</v>
      </c>
      <c r="G46" s="19">
        <f>('1'!G46+'2'!G46+'3'!G46+'4'!G46+'5'!G46+'6'!G46+'7'!G46)/$C$47</f>
        <v>0</v>
      </c>
      <c r="H46" s="19">
        <f>('1'!H46+'2'!H46+'3'!H46+'4'!H46+'5'!H46+'6'!H46+'7'!H46)/$C$47</f>
        <v>0.12727272727272726</v>
      </c>
      <c r="I46" s="19">
        <f>('1'!I46+'2'!I46+'3'!I46+'4'!I46+'5'!I46+'6'!I46+'7'!I46)/$I$47</f>
        <v>0</v>
      </c>
      <c r="J46" s="19">
        <f>('1'!J46+'2'!J46+'3'!J46+'4'!J46+'5'!J46+'6'!J46+'7'!J46)/$I$47</f>
        <v>0</v>
      </c>
      <c r="K46" s="19">
        <f>('1'!K46+'2'!K46+'3'!K46+'4'!K46+'5'!K46+'6'!K46+'7'!K46)/$I$47</f>
        <v>1.8867924528301886E-2</v>
      </c>
      <c r="L46" s="19">
        <f>('1'!L46+'2'!L46+'3'!L46+'4'!L46+'5'!L46+'6'!L46+'7'!L46)/$I$47</f>
        <v>0</v>
      </c>
      <c r="M46" s="19">
        <f>('1'!M46+'2'!M46+'3'!M46+'4'!M46+'5'!M46+'6'!M46+'7'!M46)/$I$47</f>
        <v>0</v>
      </c>
      <c r="N46" s="19">
        <f>('1'!N46+'2'!N46+'3'!N46+'4'!N46+'5'!N46+'6'!N46+'7'!N46)/$I$47</f>
        <v>0.13207547169811321</v>
      </c>
      <c r="O46" s="19">
        <f>('1'!O46+'2'!O46+'3'!O46+'4'!O46+'5'!O46+'6'!O46+'7'!O46)/$O$47</f>
        <v>2.0833333333333332E-2</v>
      </c>
      <c r="P46" s="19">
        <f>('1'!P46+'2'!P46+'3'!P46+'4'!P46+'5'!P46+'6'!P46+'7'!P46)/$O$47</f>
        <v>0</v>
      </c>
      <c r="Q46" s="19">
        <f>('1'!Q46+'2'!Q46+'3'!Q46+'4'!Q46+'5'!Q46+'6'!Q46+'7'!Q46)/$O$47</f>
        <v>0</v>
      </c>
      <c r="R46" s="19">
        <f>('1'!R46+'2'!R46+'3'!R46+'4'!R46+'5'!R46+'6'!R46+'7'!R46)/$O$47</f>
        <v>2.0833333333333332E-2</v>
      </c>
      <c r="S46" s="19">
        <f>('1'!S46+'2'!S46+'3'!S46+'4'!S46+'5'!S46+'6'!S46+'7'!S46)/$O$47</f>
        <v>0</v>
      </c>
      <c r="T46" s="81">
        <f>('1'!T46+'2'!T46+'3'!T46+'4'!T46+'5'!T46+'6'!T46+'7'!T46)/$O$47</f>
        <v>0.14583333333333334</v>
      </c>
      <c r="V46" s="12" t="s">
        <v>12</v>
      </c>
      <c r="W46" s="19">
        <f>('1'!W46+'2'!W46+'3'!W46+'4'!W46+'5'!W46+'6'!W46+'7'!W46)/$W$47</f>
        <v>5.5555555555555552E-2</v>
      </c>
      <c r="X46" s="19">
        <f>('1'!X46+'2'!X46+'3'!X46+'4'!X46+'5'!X46+'6'!X46+'7'!X46)/$W$47</f>
        <v>0</v>
      </c>
      <c r="Y46" s="19">
        <f>('1'!Y46+'2'!Y46+'3'!Y46+'4'!Y46+'5'!Y46+'6'!Y46+'7'!Y46)/$W$47</f>
        <v>0</v>
      </c>
      <c r="Z46" s="19">
        <f>('1'!Z46+'2'!Z46+'3'!Z46+'4'!Z46+'5'!Z46+'6'!Z46+'7'!Z46)/$W$47</f>
        <v>0</v>
      </c>
      <c r="AA46" s="19">
        <f>('1'!AA46+'2'!AA46+'3'!AA46+'4'!AA46+'5'!AA46+'6'!AA46+'7'!AA46)/$W$47</f>
        <v>0</v>
      </c>
      <c r="AB46" s="19">
        <f>('1'!AB46+'2'!AB46+'3'!AB46+'4'!AB46+'5'!AB46+'6'!AB46+'7'!AB46)/$W$47</f>
        <v>9.7222222222222224E-2</v>
      </c>
      <c r="AC46" s="19">
        <f>('1'!AC46+'2'!AC46+'3'!AC46+'4'!AC46+'5'!AC46+'6'!AC46+'7'!AC46)/$AC$47</f>
        <v>9.2592592592592587E-2</v>
      </c>
      <c r="AD46" s="19">
        <f>('1'!AD46+'2'!AD46+'3'!AD46+'4'!AD46+'5'!AD46+'6'!AD46+'7'!AD46)/$AC$47</f>
        <v>0</v>
      </c>
      <c r="AE46" s="19">
        <f>('1'!AE46+'2'!AE46+'3'!AE46+'4'!AE46+'5'!AE46+'6'!AE46+'7'!AE46)/$AC$47</f>
        <v>0</v>
      </c>
      <c r="AF46" s="19">
        <f>('1'!AF46+'2'!AF46+'3'!AF46+'4'!AF46+'5'!AF46+'6'!AF46+'7'!AF46)/$AC$47</f>
        <v>0</v>
      </c>
      <c r="AG46" s="19">
        <f>('1'!AG46+'2'!AG46+'3'!AG46+'4'!AG46+'5'!AG46+'6'!AG46+'7'!AG46)/$AC$47</f>
        <v>0</v>
      </c>
      <c r="AH46" s="19">
        <f>('1'!AH46+'2'!AH46+'3'!AH46+'4'!AH46+'5'!AH46+'6'!AH46+'7'!AH46)/$AC$47</f>
        <v>0.12962962962962962</v>
      </c>
      <c r="AI46" s="19">
        <f>('1'!AI46+'2'!AI46+'3'!AI46+'4'!AI46+'5'!AI46+'6'!AI46+'7'!AI46)/$AI$47</f>
        <v>0</v>
      </c>
      <c r="AJ46" s="19">
        <f>('1'!AJ46+'2'!AJ46+'3'!AJ46+'4'!AJ46+'5'!AJ46+'6'!AJ46+'7'!AJ46)/$AI$47</f>
        <v>0</v>
      </c>
      <c r="AK46" s="19">
        <f>('1'!AK46+'2'!AK46+'3'!AK46+'4'!AK46+'5'!AK46+'6'!AK46+'7'!AK46)/$AI$47</f>
        <v>0</v>
      </c>
      <c r="AL46" s="19">
        <f>('1'!AL46+'2'!AL46+'3'!AL46+'4'!AL46+'5'!AL46+'6'!AL46+'7'!AL46)/$AI$47</f>
        <v>0</v>
      </c>
      <c r="AM46" s="19">
        <f>('1'!AM46+'2'!AM46+'3'!AM46+'4'!AM46+'5'!AM46+'6'!AM46+'7'!AM46)/$AI$47</f>
        <v>0</v>
      </c>
      <c r="AN46" s="81">
        <f>('1'!AN46+'2'!AN46+'3'!AN46+'4'!AN46+'5'!AN46+'6'!AN46+'7'!AN46)/$AI$47</f>
        <v>0.16666666666666666</v>
      </c>
    </row>
    <row r="47" spans="2:40" ht="15.75" thickBot="1">
      <c r="B47" s="36" t="s">
        <v>26</v>
      </c>
      <c r="C47" s="16">
        <f>('1'!C47+'2'!C47+'3'!C47+'4'!C47+'5'!C47+'6'!C47+'7'!C47)</f>
        <v>55</v>
      </c>
      <c r="D47" s="16">
        <f>('1'!D47+'2'!D47+'3'!D47+'4'!D47+'5'!D47+'6'!D47+'7'!D47)</f>
        <v>0</v>
      </c>
      <c r="E47" s="16">
        <f>('1'!E47+'2'!E47+'3'!E47+'4'!E47+'5'!E47+'6'!E47+'7'!E47)</f>
        <v>0</v>
      </c>
      <c r="F47" s="16">
        <f>('1'!F47+'2'!F47+'3'!F47+'4'!F47+'5'!F47+'6'!F47+'7'!F47)</f>
        <v>0</v>
      </c>
      <c r="G47" s="16">
        <f>('1'!G47+'2'!G47+'3'!G47+'4'!G47+'5'!G47+'6'!G47+'7'!G47)</f>
        <v>0</v>
      </c>
      <c r="H47" s="16">
        <f>('1'!H47+'2'!H47+'3'!H47+'4'!H47+'5'!H47+'6'!H47+'7'!H47)</f>
        <v>0</v>
      </c>
      <c r="I47" s="16">
        <f>('1'!I47+'2'!I47+'3'!I47+'4'!I47+'5'!I47+'6'!I47+'7'!I47)</f>
        <v>53</v>
      </c>
      <c r="J47" s="16">
        <f>('1'!J47+'2'!J47+'3'!J47+'4'!J47+'5'!J47+'6'!J47+'7'!J47)</f>
        <v>0</v>
      </c>
      <c r="K47" s="16">
        <f>('1'!K47+'2'!K47+'3'!K47+'4'!K47+'5'!K47+'6'!K47+'7'!K47)</f>
        <v>0</v>
      </c>
      <c r="L47" s="16">
        <f>('1'!L47+'2'!L47+'3'!L47+'4'!L47+'5'!L47+'6'!L47+'7'!L47)</f>
        <v>0</v>
      </c>
      <c r="M47" s="16">
        <f>('1'!M47+'2'!M47+'3'!M47+'4'!M47+'5'!M47+'6'!M47+'7'!M47)</f>
        <v>0</v>
      </c>
      <c r="N47" s="16">
        <f>('1'!N47+'2'!N47+'3'!N47+'4'!N47+'5'!N47+'6'!N47+'7'!N47)</f>
        <v>0</v>
      </c>
      <c r="O47" s="16">
        <f>('1'!O47+'2'!O47+'3'!O47+'4'!O47+'5'!O47+'6'!O47+'7'!O47)</f>
        <v>48</v>
      </c>
      <c r="P47" s="16">
        <f>('1'!P47+'2'!P47+'3'!P47+'4'!P47+'5'!P47+'6'!P47+'7'!P47)</f>
        <v>0</v>
      </c>
      <c r="Q47" s="16">
        <f>('1'!Q47+'2'!Q47+'3'!Q47+'4'!Q47+'5'!Q47+'6'!Q47+'7'!Q47)</f>
        <v>0</v>
      </c>
      <c r="R47" s="16">
        <f>('1'!R47+'2'!R47+'3'!R47+'4'!R47+'5'!R47+'6'!R47+'7'!R47)</f>
        <v>0</v>
      </c>
      <c r="S47" s="16">
        <f>('1'!S47+'2'!S47+'3'!S47+'4'!S47+'5'!S47+'6'!S47+'7'!S47)</f>
        <v>0</v>
      </c>
      <c r="T47" s="33">
        <f>('1'!T47+'2'!T47+'3'!T47+'4'!T47+'5'!T47+'6'!T47+'7'!T47)</f>
        <v>0</v>
      </c>
      <c r="V47" s="35" t="s">
        <v>26</v>
      </c>
      <c r="W47" s="16">
        <f>('1'!W47+'2'!W47+'3'!W47+'4'!W47+'5'!W47+'6'!W47+'7'!W47)</f>
        <v>72</v>
      </c>
      <c r="X47" s="16">
        <f>('1'!X47+'2'!X47+'3'!X47+'4'!X47+'5'!X47+'6'!X47+'7'!X47)</f>
        <v>0</v>
      </c>
      <c r="Y47" s="16">
        <f>('1'!Y47+'2'!Y47+'3'!Y47+'4'!Y47+'5'!Y47+'6'!Y47+'7'!Y47)</f>
        <v>0</v>
      </c>
      <c r="Z47" s="16">
        <f>('1'!Z47+'2'!Z47+'3'!Z47+'4'!Z47+'5'!Z47+'6'!Z47+'7'!Z47)</f>
        <v>0</v>
      </c>
      <c r="AA47" s="16">
        <f>('1'!AA47+'2'!AA47+'3'!AA47+'4'!AA47+'5'!AA47+'6'!AA47+'7'!AA47)</f>
        <v>0</v>
      </c>
      <c r="AB47" s="16">
        <f>('1'!AB47+'2'!AB47+'3'!AB47+'4'!AB47+'5'!AB47+'6'!AB47+'7'!AB47)</f>
        <v>0</v>
      </c>
      <c r="AC47" s="16">
        <f>('1'!AC47+'2'!AC47+'3'!AC47+'4'!AC47+'5'!AC47+'6'!AC47+'7'!AC47)</f>
        <v>54</v>
      </c>
      <c r="AD47" s="16">
        <f>('1'!AD47+'2'!AD47+'3'!AD47+'4'!AD47+'5'!AD47+'6'!AD47+'7'!AD47)</f>
        <v>0</v>
      </c>
      <c r="AE47" s="16">
        <f>('1'!AE47+'2'!AE47+'3'!AE47+'4'!AE47+'5'!AE47+'6'!AE47+'7'!AE47)</f>
        <v>0</v>
      </c>
      <c r="AF47" s="16">
        <f>('1'!AF47+'2'!AF47+'3'!AF47+'4'!AF47+'5'!AF47+'6'!AF47+'7'!AF47)</f>
        <v>0</v>
      </c>
      <c r="AG47" s="16">
        <f>('1'!AG47+'2'!AG47+'3'!AG47+'4'!AG47+'5'!AG47+'6'!AG47+'7'!AG47)</f>
        <v>0</v>
      </c>
      <c r="AH47" s="16">
        <f>('1'!AH47+'2'!AH47+'3'!AH47+'4'!AH47+'5'!AH47+'6'!AH47+'7'!AH47)</f>
        <v>0</v>
      </c>
      <c r="AI47" s="16">
        <f>('1'!AI47+'2'!AI47+'3'!AI47+'4'!AI47+'5'!AI47+'6'!AI47+'7'!AI47)</f>
        <v>42</v>
      </c>
      <c r="AJ47" s="16">
        <f>('1'!AJ47+'2'!AJ47+'3'!AJ47+'4'!AJ47+'5'!AJ47+'6'!AJ47+'7'!AJ47)</f>
        <v>0</v>
      </c>
      <c r="AK47" s="16">
        <f>('1'!AK47+'2'!AK47+'3'!AK47+'4'!AK47+'5'!AK47+'6'!AK47+'7'!AK47)</f>
        <v>0</v>
      </c>
      <c r="AL47" s="16">
        <f>('1'!AL47+'2'!AL47+'3'!AL47+'4'!AL47+'5'!AL47+'6'!AL47+'7'!AL47)</f>
        <v>0</v>
      </c>
      <c r="AM47" s="16">
        <f>('1'!AM47+'2'!AM47+'3'!AM47+'4'!AM47+'5'!AM47+'6'!AM47+'7'!AM47)</f>
        <v>0</v>
      </c>
      <c r="AN47" s="33">
        <f>('1'!AN47+'2'!AN47+'3'!AN47+'4'!AN47+'5'!AN47+'6'!AN47+'7'!AN47)</f>
        <v>0</v>
      </c>
    </row>
    <row r="48" spans="2:40">
      <c r="C48" s="1">
        <f>SUM(C41:H46)</f>
        <v>1</v>
      </c>
      <c r="I48" s="1">
        <f>SUM(I41:N46)</f>
        <v>0.99999999999999989</v>
      </c>
      <c r="O48" s="1">
        <f>SUM(O41:T46)</f>
        <v>1.0000000000000002</v>
      </c>
      <c r="W48" s="1">
        <f>SUM(W41:AB46)</f>
        <v>0.99999999999999989</v>
      </c>
      <c r="AC48" s="1">
        <f>SUM(AC41:AH46)</f>
        <v>1</v>
      </c>
      <c r="AI48" s="1">
        <f>SUM(AI41:AN46)</f>
        <v>0.99999999999999989</v>
      </c>
    </row>
    <row r="50" spans="2:20" ht="15.75" thickBot="1"/>
    <row r="51" spans="2:20" ht="15.75" thickBot="1">
      <c r="C51" s="91" t="s">
        <v>42</v>
      </c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3"/>
    </row>
    <row r="52" spans="2:20" ht="15.75" thickBot="1">
      <c r="C52" s="88" t="s">
        <v>15</v>
      </c>
      <c r="D52" s="89"/>
      <c r="E52" s="89"/>
      <c r="F52" s="89"/>
      <c r="G52" s="89"/>
      <c r="H52" s="90"/>
      <c r="I52" s="88" t="s">
        <v>6</v>
      </c>
      <c r="J52" s="89"/>
      <c r="K52" s="89"/>
      <c r="L52" s="89"/>
      <c r="M52" s="89"/>
      <c r="N52" s="90"/>
      <c r="O52" s="88" t="s">
        <v>17</v>
      </c>
      <c r="P52" s="89"/>
      <c r="Q52" s="89"/>
      <c r="R52" s="89"/>
      <c r="S52" s="89"/>
      <c r="T52" s="90"/>
    </row>
    <row r="53" spans="2:20" ht="15.75" thickBot="1">
      <c r="C53" s="60" t="s">
        <v>7</v>
      </c>
      <c r="D53" s="61" t="s">
        <v>8</v>
      </c>
      <c r="E53" s="61" t="s">
        <v>40</v>
      </c>
      <c r="F53" s="61" t="s">
        <v>10</v>
      </c>
      <c r="G53" s="61" t="s">
        <v>11</v>
      </c>
      <c r="H53" s="62" t="s">
        <v>12</v>
      </c>
      <c r="I53" s="60" t="s">
        <v>7</v>
      </c>
      <c r="J53" s="61" t="s">
        <v>8</v>
      </c>
      <c r="K53" s="61" t="s">
        <v>40</v>
      </c>
      <c r="L53" s="61" t="s">
        <v>10</v>
      </c>
      <c r="M53" s="61" t="s">
        <v>11</v>
      </c>
      <c r="N53" s="62" t="s">
        <v>12</v>
      </c>
      <c r="O53" s="60" t="s">
        <v>7</v>
      </c>
      <c r="P53" s="61" t="s">
        <v>8</v>
      </c>
      <c r="Q53" s="61" t="s">
        <v>40</v>
      </c>
      <c r="R53" s="61" t="s">
        <v>10</v>
      </c>
      <c r="S53" s="61" t="s">
        <v>11</v>
      </c>
      <c r="T53" s="62" t="s">
        <v>12</v>
      </c>
    </row>
    <row r="54" spans="2:20">
      <c r="B54" s="24" t="s">
        <v>0</v>
      </c>
      <c r="C54" s="50">
        <f>(C6)*'1'!$H$12</f>
        <v>1.4673085535434924</v>
      </c>
      <c r="D54" s="51">
        <f>(D6)*'1'!$H$12</f>
        <v>6.7614164623445522E-2</v>
      </c>
      <c r="E54" s="51">
        <f>(E6)*'1'!$H$12</f>
        <v>5.4802073261258556E-2</v>
      </c>
      <c r="F54" s="51">
        <f>(F6)*'1'!$H$12</f>
        <v>5.9675270991143566E-2</v>
      </c>
      <c r="G54" s="51">
        <f>(G6)*'1'!$H$12</f>
        <v>0.10903611031105995</v>
      </c>
      <c r="H54" s="52">
        <f>(H6)*'1'!$H$12</f>
        <v>0.72642595019214951</v>
      </c>
      <c r="I54" s="58">
        <f>(I6)*'1'!$N$12</f>
        <v>0.36267060428344022</v>
      </c>
      <c r="J54" s="51">
        <f>(J6)*'1'!$N$12</f>
        <v>0.10458600838887995</v>
      </c>
      <c r="K54" s="51">
        <f>(K6)*'1'!$N$12</f>
        <v>3.487455724448206E-2</v>
      </c>
      <c r="L54" s="51">
        <f>(L6)*'1'!$N$12</f>
        <v>1.1636363636363585E-2</v>
      </c>
      <c r="M54" s="51">
        <f>(M6)*'1'!$N$12</f>
        <v>0.18020590394584202</v>
      </c>
      <c r="N54" s="52">
        <f>(N6)*'1'!$N$12</f>
        <v>0.55936530180487443</v>
      </c>
      <c r="O54" s="58">
        <f>(O6)*'1'!$T$12</f>
        <v>0.25113095238095262</v>
      </c>
      <c r="P54" s="51">
        <f>(P6)*'1'!$T$12</f>
        <v>7.0000000000000539E-3</v>
      </c>
      <c r="Q54" s="51">
        <f>(Q6)*'1'!$T$12</f>
        <v>0</v>
      </c>
      <c r="R54" s="51">
        <f>(R6)*'1'!$T$12</f>
        <v>0</v>
      </c>
      <c r="S54" s="51">
        <f>(S6)*'1'!$T$12</f>
        <v>0</v>
      </c>
      <c r="T54" s="52">
        <f>(T6)*'1'!$T$12</f>
        <v>0.13639523809523835</v>
      </c>
    </row>
    <row r="55" spans="2:20">
      <c r="B55" s="26" t="s">
        <v>1</v>
      </c>
      <c r="C55" s="53">
        <f>(C7)*'1'!$H$12</f>
        <v>2.104015663781905</v>
      </c>
      <c r="D55" s="47">
        <f>(D7)*'1'!$H$12</f>
        <v>0</v>
      </c>
      <c r="E55" s="47">
        <f>(E7)*'1'!$H$12</f>
        <v>0</v>
      </c>
      <c r="F55" s="47">
        <f>(F7)*'1'!$H$12</f>
        <v>6.5037313432835123E-3</v>
      </c>
      <c r="G55" s="47">
        <f>(G7)*'1'!$H$12</f>
        <v>0.33058882519937588</v>
      </c>
      <c r="H55" s="54">
        <f>(H7)*'1'!$H$12</f>
        <v>4.7649786780383778E-2</v>
      </c>
      <c r="I55" s="49">
        <f>(I7)*'1'!$N$12</f>
        <v>0.56790923911239022</v>
      </c>
      <c r="J55" s="47">
        <f>(J7)*'1'!$N$12</f>
        <v>0</v>
      </c>
      <c r="K55" s="47">
        <f>(K7)*'1'!$N$12</f>
        <v>0</v>
      </c>
      <c r="L55" s="47">
        <f>(L7)*'1'!$N$12</f>
        <v>3.7160525121525491E-2</v>
      </c>
      <c r="M55" s="47">
        <f>(M7)*'1'!$N$12</f>
        <v>0.12214385308808368</v>
      </c>
      <c r="N55" s="54">
        <f>(N7)*'1'!$N$12</f>
        <v>0.54811711289094389</v>
      </c>
      <c r="O55" s="49">
        <f>(O7)*'1'!$T$12</f>
        <v>0.18643401648795135</v>
      </c>
      <c r="P55" s="47">
        <f>(P7)*'1'!$T$12</f>
        <v>0</v>
      </c>
      <c r="Q55" s="47">
        <f>(Q7)*'1'!$T$12</f>
        <v>8.487859771493747E-2</v>
      </c>
      <c r="R55" s="47">
        <f>(R7)*'1'!$T$12</f>
        <v>6.2840909090908581E-3</v>
      </c>
      <c r="S55" s="47">
        <f>(S7)*'1'!$T$12</f>
        <v>5.6428571428571708E-3</v>
      </c>
      <c r="T55" s="54">
        <f>(T7)*'1'!$T$12</f>
        <v>0.14962369443260864</v>
      </c>
    </row>
    <row r="56" spans="2:20">
      <c r="B56" s="26" t="s">
        <v>2</v>
      </c>
      <c r="C56" s="53">
        <f>(C8)*'1'!$H$12</f>
        <v>2.2404031915027156</v>
      </c>
      <c r="D56" s="47">
        <f>(D8)*'1'!$H$12</f>
        <v>0</v>
      </c>
      <c r="E56" s="47">
        <f>(E8)*'1'!$H$12</f>
        <v>5.5123842753120815E-2</v>
      </c>
      <c r="F56" s="47">
        <f>(F8)*'1'!$H$12</f>
        <v>3.0524776897956078E-2</v>
      </c>
      <c r="G56" s="47">
        <f>(G8)*'1'!$H$12</f>
        <v>9.6095948827292124E-2</v>
      </c>
      <c r="H56" s="54">
        <f>(H8)*'1'!$H$12</f>
        <v>6.6192697858876631E-2</v>
      </c>
      <c r="I56" s="49">
        <f>(I8)*'1'!$N$12</f>
        <v>1.0503034037411993</v>
      </c>
      <c r="J56" s="47">
        <f>(J8)*'1'!$N$12</f>
        <v>0</v>
      </c>
      <c r="K56" s="47">
        <f>(K8)*'1'!$N$12</f>
        <v>7.1111111111111687E-3</v>
      </c>
      <c r="L56" s="47">
        <f>(L8)*'1'!$N$12</f>
        <v>2.1197975253093321E-2</v>
      </c>
      <c r="M56" s="47">
        <f>(M8)*'1'!$N$12</f>
        <v>6.691216931216927E-2</v>
      </c>
      <c r="N56" s="54">
        <f>(N8)*'1'!$N$12</f>
        <v>0.13305993893620435</v>
      </c>
      <c r="O56" s="49">
        <f>(O8)*'1'!$T$12</f>
        <v>0.32924124695749896</v>
      </c>
      <c r="P56" s="47">
        <f>(P8)*'1'!$T$12</f>
        <v>0</v>
      </c>
      <c r="Q56" s="47">
        <f>(Q8)*'1'!$T$12</f>
        <v>1.3571428571428661E-2</v>
      </c>
      <c r="R56" s="47">
        <f>(R8)*'1'!$T$12</f>
        <v>2.1855832241153294E-2</v>
      </c>
      <c r="S56" s="47">
        <f>(S8)*'1'!$T$12</f>
        <v>1.0398979591836709E-2</v>
      </c>
      <c r="T56" s="54">
        <f>(T8)*'1'!$T$12</f>
        <v>1.9216251638270055E-2</v>
      </c>
    </row>
    <row r="57" spans="2:20">
      <c r="B57" s="26" t="s">
        <v>3</v>
      </c>
      <c r="C57" s="53">
        <f>(C9)*'1'!$H$12</f>
        <v>1.8661852356723259</v>
      </c>
      <c r="D57" s="47">
        <f>(D9)*'1'!$H$12</f>
        <v>0</v>
      </c>
      <c r="E57" s="47">
        <f>(E9)*'1'!$H$12</f>
        <v>4.1109482938570079E-2</v>
      </c>
      <c r="F57" s="47">
        <f>(F9)*'1'!$H$12</f>
        <v>6.9188440340584634E-2</v>
      </c>
      <c r="G57" s="47">
        <f>(G9)*'1'!$H$12</f>
        <v>0.26273325445449858</v>
      </c>
      <c r="H57" s="54">
        <f>(H9)*'1'!$H$12</f>
        <v>0.3075390383115395</v>
      </c>
      <c r="I57" s="49">
        <f>(I9)*'1'!$N$12</f>
        <v>0.8508077196232825</v>
      </c>
      <c r="J57" s="47">
        <f>(J9)*'1'!$N$12</f>
        <v>0</v>
      </c>
      <c r="K57" s="47">
        <f>(K9)*'1'!$N$12</f>
        <v>7.0551181102361509E-3</v>
      </c>
      <c r="L57" s="47">
        <f>(L9)*'1'!$N$12</f>
        <v>3.3591534391534422E-2</v>
      </c>
      <c r="M57" s="47">
        <f>(M9)*'1'!$N$12</f>
        <v>0.15731686872474271</v>
      </c>
      <c r="N57" s="54">
        <f>(N9)*'1'!$N$12</f>
        <v>0.2295367980963165</v>
      </c>
      <c r="O57" s="49">
        <f>(O9)*'1'!$T$12</f>
        <v>0.31035714285714311</v>
      </c>
      <c r="P57" s="47">
        <f>(P9)*'1'!$T$12</f>
        <v>0</v>
      </c>
      <c r="Q57" s="47">
        <f>(Q9)*'1'!$T$12</f>
        <v>0</v>
      </c>
      <c r="R57" s="47">
        <f>(R9)*'1'!$T$12</f>
        <v>4.5948979591836803E-2</v>
      </c>
      <c r="S57" s="47">
        <f>(S9)*'1'!$T$12</f>
        <v>0</v>
      </c>
      <c r="T57" s="54">
        <f>(T9)*'1'!$T$12</f>
        <v>3.8613265306122538E-2</v>
      </c>
    </row>
    <row r="58" spans="2:20">
      <c r="B58" s="26" t="s">
        <v>4</v>
      </c>
      <c r="C58" s="53">
        <f>(C10)*'1'!$H$12</f>
        <v>1.3391356070148184</v>
      </c>
      <c r="D58" s="47">
        <f>(D10)*'1'!$H$12</f>
        <v>8.2951126656966578E-2</v>
      </c>
      <c r="E58" s="47">
        <f>(E10)*'1'!$H$12</f>
        <v>8.9279117803838084E-2</v>
      </c>
      <c r="F58" s="47">
        <f>(F10)*'1'!$H$12</f>
        <v>3.431207579065404E-2</v>
      </c>
      <c r="G58" s="47">
        <f>(G10)*'1'!$H$12</f>
        <v>0.31020820734917476</v>
      </c>
      <c r="H58" s="54">
        <f>(H10)*'1'!$H$12</f>
        <v>0.63173375298992318</v>
      </c>
      <c r="I58" s="49">
        <f>(I10)*'1'!$N$12</f>
        <v>0.77315679801011572</v>
      </c>
      <c r="J58" s="47">
        <f>(J10)*'1'!$N$12</f>
        <v>0.12855707876556755</v>
      </c>
      <c r="K58" s="47">
        <f>(K10)*'1'!$N$12</f>
        <v>3.751373034062102E-2</v>
      </c>
      <c r="L58" s="47">
        <f>(L10)*'1'!$N$12</f>
        <v>1.0654668166479302E-2</v>
      </c>
      <c r="M58" s="47">
        <f>(M10)*'1'!$N$12</f>
        <v>3.3726984126984078E-2</v>
      </c>
      <c r="N58" s="54">
        <f>(N10)*'1'!$N$12</f>
        <v>0.2808756559151746</v>
      </c>
      <c r="O58" s="49">
        <f>(O10)*'1'!$T$12</f>
        <v>0.27857142857142886</v>
      </c>
      <c r="P58" s="47">
        <f>(P10)*'1'!$T$12</f>
        <v>1.1316436251920185E-2</v>
      </c>
      <c r="Q58" s="47">
        <f>(Q10)*'1'!$T$12</f>
        <v>9.1013824884792986E-3</v>
      </c>
      <c r="R58" s="47">
        <f>(R10)*'1'!$T$12</f>
        <v>2.3332635106828634E-2</v>
      </c>
      <c r="S58" s="47">
        <f>(S10)*'1'!$T$12</f>
        <v>0</v>
      </c>
      <c r="T58" s="54">
        <f>(T10)*'1'!$T$12</f>
        <v>7.2407013685239607E-2</v>
      </c>
    </row>
    <row r="59" spans="2:20" ht="15.75" thickBot="1">
      <c r="B59" s="26" t="s">
        <v>5</v>
      </c>
      <c r="C59" s="55">
        <f>('1'!C57+'2'!C57+'3'!C57+'4'!C57+'5'!C57+'6'!C57+'7'!C57)/7</f>
        <v>1.8710714285714283</v>
      </c>
      <c r="D59" s="56">
        <f>('1'!D57+'2'!D57+'3'!D57+'4'!D57+'5'!D57+'6'!D57+'7'!D57)/7</f>
        <v>0</v>
      </c>
      <c r="E59" s="56">
        <f>('1'!E57+'2'!E57+'3'!E57+'4'!E57+'5'!E57+'6'!E57+'7'!E57)/7</f>
        <v>0</v>
      </c>
      <c r="F59" s="56">
        <f>('1'!F57+'2'!F57+'3'!F57+'4'!F57+'5'!F57+'6'!F57+'7'!F57)/7</f>
        <v>6.2857142857142834E-2</v>
      </c>
      <c r="G59" s="56">
        <f>('1'!G57+'2'!G57+'3'!G57+'4'!G57+'5'!G57+'6'!G57+'7'!G57)/7</f>
        <v>0.16342857142857145</v>
      </c>
      <c r="H59" s="57">
        <f>('1'!H57+'2'!H57+'3'!H57+'4'!H57+'5'!H57+'6'!H57+'7'!H57)/7</f>
        <v>0.43342857142857183</v>
      </c>
      <c r="I59" s="59">
        <f>('1'!I57+'2'!I57+'3'!I57+'4'!I57+'5'!I57+'6'!I57+'7'!I57)/7</f>
        <v>0.96642857142857153</v>
      </c>
      <c r="J59" s="56">
        <f>('1'!J57+'2'!J57+'3'!J57+'4'!J57+'5'!J57+'6'!J57+'7'!J57)/7</f>
        <v>0</v>
      </c>
      <c r="K59" s="56">
        <f>('1'!K57+'2'!K57+'3'!K57+'4'!K57+'5'!K57+'6'!K57+'7'!K57)/7</f>
        <v>3.9000000000000083E-2</v>
      </c>
      <c r="L59" s="56">
        <f>('1'!L57+'2'!L57+'3'!L57+'4'!L57+'5'!L57+'6'!L57+'7'!L57)/7</f>
        <v>0</v>
      </c>
      <c r="M59" s="56">
        <f>('1'!M57+'2'!M57+'3'!M57+'4'!M57+'5'!M57+'6'!M57+'7'!M57)/7</f>
        <v>0</v>
      </c>
      <c r="N59" s="57">
        <f>('1'!N57+'2'!N57+'3'!N57+'4'!N57+'5'!N57+'6'!N57+'7'!N57)/7</f>
        <v>0.20285714285714285</v>
      </c>
      <c r="O59" s="59">
        <f>('1'!O57+'2'!O57+'3'!O57+'4'!O57+'5'!O57+'6'!O57+'7'!O57)/7</f>
        <v>0.49071428571428577</v>
      </c>
      <c r="P59" s="56">
        <f>('1'!P57+'2'!P57+'3'!P57+'4'!P57+'5'!P57+'6'!P57+'7'!P57)/7</f>
        <v>0</v>
      </c>
      <c r="Q59" s="56">
        <f>('1'!Q57+'2'!Q57+'3'!Q57+'4'!Q57+'5'!Q57+'6'!Q57+'7'!Q57)/7</f>
        <v>0</v>
      </c>
      <c r="R59" s="56">
        <f>('1'!R57+'2'!R57+'3'!R57+'4'!R57+'5'!R57+'6'!R57+'7'!R57)/7</f>
        <v>0</v>
      </c>
      <c r="S59" s="56">
        <f>('1'!S57+'2'!S57+'3'!S57+'4'!S57+'5'!S57+'6'!S57+'7'!S57)/7</f>
        <v>0</v>
      </c>
      <c r="T59" s="57">
        <f>('1'!T57+'2'!T57+'3'!T57+'4'!T57+'5'!T57+'6'!T57+'7'!T57)/7</f>
        <v>0</v>
      </c>
    </row>
    <row r="60" spans="2:20" ht="15.75" thickBot="1">
      <c r="B60" s="44" t="str">
        <f>'1'!B12</f>
        <v>Notes</v>
      </c>
      <c r="C60" s="48" t="str">
        <f>'1'!C12</f>
        <v>Start</v>
      </c>
      <c r="D60" s="45">
        <f>'1'!D12</f>
        <v>2.6549999999999998</v>
      </c>
      <c r="E60" s="48" t="str">
        <f>'1'!E12</f>
        <v>End</v>
      </c>
      <c r="F60" s="45">
        <f>'1'!F12</f>
        <v>5.1449999999999996</v>
      </c>
      <c r="G60" s="48" t="str">
        <f>'1'!G12</f>
        <v>Duration</v>
      </c>
      <c r="H60" s="45">
        <f>'1'!H12</f>
        <v>2.4899999999999998</v>
      </c>
      <c r="I60" s="48" t="str">
        <f>'1'!I12</f>
        <v>Start</v>
      </c>
      <c r="J60" s="45">
        <f>'1'!J12</f>
        <v>5.1449999999999996</v>
      </c>
      <c r="K60" s="48" t="str">
        <f>'1'!K12</f>
        <v>End</v>
      </c>
      <c r="L60" s="45">
        <f>'1'!L12</f>
        <v>6.4249999999999998</v>
      </c>
      <c r="M60" s="48" t="str">
        <f>'1'!M12</f>
        <v>Duration</v>
      </c>
      <c r="N60" s="45">
        <f>'1'!N12</f>
        <v>1.2800000000000002</v>
      </c>
      <c r="O60" s="48" t="str">
        <f>'1'!O12</f>
        <v>Start</v>
      </c>
      <c r="P60" s="45">
        <f>'1'!P12</f>
        <v>6.4249999999999998</v>
      </c>
      <c r="Q60" s="48" t="str">
        <f>'1'!Q12</f>
        <v>End</v>
      </c>
      <c r="R60" s="45">
        <f>'1'!R12</f>
        <v>6.82</v>
      </c>
      <c r="S60" s="48" t="str">
        <f>'1'!S12</f>
        <v>Duration</v>
      </c>
      <c r="T60" s="46">
        <f>'1'!T12</f>
        <v>0.39500000000000046</v>
      </c>
    </row>
    <row r="62" spans="2:20" ht="15.75" thickBot="1"/>
    <row r="63" spans="2:20" ht="15.75" thickBot="1">
      <c r="C63" s="91" t="s">
        <v>41</v>
      </c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3"/>
    </row>
    <row r="64" spans="2:20" ht="15.75" thickBot="1">
      <c r="C64" s="88" t="s">
        <v>15</v>
      </c>
      <c r="D64" s="89"/>
      <c r="E64" s="89"/>
      <c r="F64" s="89"/>
      <c r="G64" s="89"/>
      <c r="H64" s="90"/>
      <c r="I64" s="88" t="s">
        <v>6</v>
      </c>
      <c r="J64" s="89"/>
      <c r="K64" s="89"/>
      <c r="L64" s="89"/>
      <c r="M64" s="89"/>
      <c r="N64" s="90"/>
      <c r="O64" s="88" t="s">
        <v>17</v>
      </c>
      <c r="P64" s="89"/>
      <c r="Q64" s="89"/>
      <c r="R64" s="89"/>
      <c r="S64" s="89"/>
      <c r="T64" s="90"/>
    </row>
    <row r="65" spans="2:20" ht="15.75" thickBot="1">
      <c r="C65" s="19" t="s">
        <v>7</v>
      </c>
      <c r="D65" s="20" t="s">
        <v>8</v>
      </c>
      <c r="E65" s="20" t="s">
        <v>40</v>
      </c>
      <c r="F65" s="20" t="s">
        <v>10</v>
      </c>
      <c r="G65" s="20" t="s">
        <v>11</v>
      </c>
      <c r="H65" s="21" t="s">
        <v>12</v>
      </c>
      <c r="I65" s="19" t="s">
        <v>7</v>
      </c>
      <c r="J65" s="20" t="s">
        <v>8</v>
      </c>
      <c r="K65" s="20" t="s">
        <v>40</v>
      </c>
      <c r="L65" s="20" t="s">
        <v>10</v>
      </c>
      <c r="M65" s="20" t="s">
        <v>11</v>
      </c>
      <c r="N65" s="21" t="s">
        <v>12</v>
      </c>
      <c r="O65" s="19" t="s">
        <v>7</v>
      </c>
      <c r="P65" s="20" t="s">
        <v>8</v>
      </c>
      <c r="Q65" s="20" t="s">
        <v>40</v>
      </c>
      <c r="R65" s="20" t="s">
        <v>10</v>
      </c>
      <c r="S65" s="20" t="s">
        <v>11</v>
      </c>
      <c r="T65" s="21" t="s">
        <v>12</v>
      </c>
    </row>
    <row r="66" spans="2:20">
      <c r="B66" s="24" t="s">
        <v>0</v>
      </c>
      <c r="C66" s="73">
        <f>VARP('1'!C52,'2'!C52,'3'!C52,'4'!C52,'5'!C52,'6'!C52)</f>
        <v>0.22550113888888904</v>
      </c>
      <c r="D66" s="72">
        <f>VARP('1'!D52,'2'!D52,'3'!D52,'4'!D52,'5'!D52,'6'!D52)</f>
        <v>1.5686666666666488E-3</v>
      </c>
      <c r="E66" s="72">
        <f>VARP('1'!E52,'2'!E52,'3'!E52,'4'!E52,'5'!E52,'6'!E52)</f>
        <v>1.4088055555555512E-3</v>
      </c>
      <c r="F66" s="72">
        <f>VARP('1'!F52,'2'!F52,'3'!F52,'4'!F52,'5'!F52,'6'!F52)</f>
        <v>4.6072222222222235E-3</v>
      </c>
      <c r="G66" s="72">
        <f>VARP('1'!G52,'2'!G52,'3'!G52,'4'!G52,'5'!G52,'6'!G52)</f>
        <v>6.0666805555555654E-2</v>
      </c>
      <c r="H66" s="74">
        <f>VARP('1'!H52,'2'!H52,'3'!H52,'4'!H52,'5'!H52,'6'!H52)</f>
        <v>0.10283655555555556</v>
      </c>
      <c r="I66" s="72">
        <f>VARP('1'!I52,'2'!I52,'3'!I52,'4'!I52,'5'!I52,'6'!I52)</f>
        <v>8.3416888888888777E-2</v>
      </c>
      <c r="J66" s="72">
        <f>VARP('1'!J52,'2'!J52,'3'!J52,'4'!J52,'5'!J52,'6'!J52)</f>
        <v>2.3421388888888697E-3</v>
      </c>
      <c r="K66" s="72">
        <f>VARP('1'!K52,'2'!K52,'3'!K52,'4'!K52,'5'!K52,'6'!K52)</f>
        <v>8.9258333333332553E-4</v>
      </c>
      <c r="L66" s="72">
        <f>VARP('1'!L52,'2'!L52,'3'!L52,'4'!L52,'5'!L52,'6'!L52)</f>
        <v>5.5124999999999499E-4</v>
      </c>
      <c r="M66" s="72">
        <f>VARP('1'!M52,'2'!M52,'3'!M52,'4'!M52,'5'!M52,'6'!M52)</f>
        <v>8.168138888888888E-3</v>
      </c>
      <c r="N66" s="74">
        <f>VARP('1'!N52,'2'!N52,'3'!N52,'4'!N52,'5'!N52,'6'!N52)</f>
        <v>8.8309333333333517E-2</v>
      </c>
      <c r="O66" s="72">
        <f>VARP('1'!O52,'2'!O52,'3'!O52,'4'!O52,'5'!O52,'6'!O52)</f>
        <v>5.8811805555555624E-2</v>
      </c>
      <c r="P66" s="72">
        <f>VARP('1'!P52,'2'!P52,'3'!P52,'4'!P52,'5'!P52,'6'!P52)</f>
        <v>3.3347222222222735E-4</v>
      </c>
      <c r="Q66" s="72">
        <f>VARP('1'!Q52,'2'!Q52,'3'!Q52,'4'!Q52,'5'!Q52,'6'!Q52)</f>
        <v>0</v>
      </c>
      <c r="R66" s="72">
        <f>VARP('1'!R52,'2'!R52,'3'!R52,'4'!R52,'5'!R52,'6'!R52)</f>
        <v>0</v>
      </c>
      <c r="S66" s="72">
        <f>VARP('1'!S52,'2'!S52,'3'!S52,'4'!S52,'5'!S52,'6'!S52)</f>
        <v>0</v>
      </c>
      <c r="T66" s="74">
        <f>VARP('1'!T52,'2'!T52,'3'!T52,'4'!T52,'5'!T52,'6'!T52)</f>
        <v>6.2559250000000038E-2</v>
      </c>
    </row>
    <row r="67" spans="2:20">
      <c r="B67" s="26" t="s">
        <v>1</v>
      </c>
      <c r="C67" s="75">
        <f>VARP('1'!C53,'2'!C53,'3'!C53,'4'!C53,'5'!C53,'6'!C53)</f>
        <v>0.14867713888888939</v>
      </c>
      <c r="D67" s="76">
        <f>VARP('1'!D53,'2'!D53,'3'!D53,'4'!D53,'5'!D53,'6'!D53)</f>
        <v>0</v>
      </c>
      <c r="E67" s="76">
        <f>VARP('1'!E53,'2'!E53,'3'!E53,'4'!E53,'5'!E53,'6'!E53)</f>
        <v>0</v>
      </c>
      <c r="F67" s="76">
        <f>VARP('1'!F53,'2'!F53,'3'!F53,'4'!F53,'5'!F53,'6'!F53)</f>
        <v>3.3347222222221526E-4</v>
      </c>
      <c r="G67" s="76">
        <f>VARP('1'!G53,'2'!G53,'3'!G53,'4'!G53,'5'!G53,'6'!G53)</f>
        <v>0.17292425000000014</v>
      </c>
      <c r="H67" s="77">
        <f>VARP('1'!H53,'2'!H53,'3'!H53,'4'!H53,'5'!H53,'6'!H53)</f>
        <v>1.7900138888888886E-2</v>
      </c>
      <c r="I67" s="76">
        <f>VARP('1'!I53,'2'!I53,'3'!I53,'4'!I53,'5'!I53,'6'!I53)</f>
        <v>0.17466088888888898</v>
      </c>
      <c r="J67" s="76">
        <f>VARP('1'!J53,'2'!J53,'3'!J53,'4'!J53,'5'!J53,'6'!J53)</f>
        <v>0</v>
      </c>
      <c r="K67" s="76">
        <f>VARP('1'!K53,'2'!K53,'3'!K53,'4'!K53,'5'!K53,'6'!K53)</f>
        <v>0</v>
      </c>
      <c r="L67" s="76">
        <f>VARP('1'!L53,'2'!L53,'3'!L53,'4'!L53,'5'!L53,'6'!L53)</f>
        <v>1.1338055555555515E-3</v>
      </c>
      <c r="M67" s="76">
        <f>VARP('1'!M53,'2'!M53,'3'!M53,'4'!M53,'5'!M53,'6'!M53)</f>
        <v>8.4828888888888801E-3</v>
      </c>
      <c r="N67" s="77">
        <f>VARP('1'!N53,'2'!N53,'3'!N53,'4'!N53,'5'!N53,'6'!N53)</f>
        <v>0.1086741388888888</v>
      </c>
      <c r="O67" s="76">
        <f>VARP('1'!O53,'2'!O53,'3'!O53,'4'!O53,'5'!O53,'6'!O53)</f>
        <v>5.0721805555555506E-2</v>
      </c>
      <c r="P67" s="76">
        <f>VARP('1'!P53,'2'!P53,'3'!P53,'4'!P53,'5'!P53,'6'!P53)</f>
        <v>0</v>
      </c>
      <c r="Q67" s="76" t="e">
        <f>VARP('1'!Q53,'2'!Q53,'3'!Q53,'4'!Q53,'5'!Q53,'6'!Q53)</f>
        <v>#REF!</v>
      </c>
      <c r="R67" s="76">
        <f>VARP('1'!R53,'2'!R53,'3'!R53,'4'!R53,'5'!R53,'6'!R53)</f>
        <v>3.3347222222221526E-4</v>
      </c>
      <c r="S67" s="76">
        <f>VARP('1'!S53,'2'!S53,'3'!S53,'4'!S53,'5'!S53,'6'!S53)</f>
        <v>6.8055555555556109E-4</v>
      </c>
      <c r="T67" s="77">
        <f>VARP('1'!T53,'2'!T53,'3'!T53,'4'!T53,'5'!T53,'6'!T53)</f>
        <v>1.0787888888888937E-2</v>
      </c>
    </row>
    <row r="68" spans="2:20">
      <c r="B68" s="26" t="s">
        <v>2</v>
      </c>
      <c r="C68" s="75">
        <f>VARP('1'!C54,'2'!C54,'3'!C54,'4'!C54,'5'!C54,'6'!C54)</f>
        <v>5.1298555555555306E-2</v>
      </c>
      <c r="D68" s="76">
        <f>VARP('1'!D54,'2'!D54,'3'!D54,'4'!D54,'5'!D54,'6'!D54)</f>
        <v>0</v>
      </c>
      <c r="E68" s="76">
        <f>VARP('1'!E54,'2'!E54,'3'!E54,'4'!E54,'5'!E54,'6'!E54)</f>
        <v>1.6206138888888957E-2</v>
      </c>
      <c r="F68" s="76">
        <f>VARP('1'!F54,'2'!F54,'3'!F54,'4'!F54,'5'!F54,'6'!F54)</f>
        <v>1.976333333333343E-3</v>
      </c>
      <c r="G68" s="76">
        <f>VARP('1'!G54,'2'!G54,'3'!G54,'4'!G54,'5'!G54,'6'!G54)</f>
        <v>7.2802222222222268E-2</v>
      </c>
      <c r="H68" s="77">
        <f>VARP('1'!H54,'2'!H54,'3'!H54,'4'!H54,'5'!H54,'6'!H54)</f>
        <v>1.322688888888891E-2</v>
      </c>
      <c r="I68" s="76">
        <f>VARP('1'!I54,'2'!I54,'3'!I54,'4'!I54,'5'!I54,'6'!I54)</f>
        <v>7.4847222222222162E-2</v>
      </c>
      <c r="J68" s="76">
        <f>VARP('1'!J54,'2'!J54,'3'!J54,'4'!J54,'5'!J54,'6'!J54)</f>
        <v>0</v>
      </c>
      <c r="K68" s="76">
        <f>VARP('1'!K54,'2'!K54,'3'!K54,'4'!K54,'5'!K54,'6'!K54)</f>
        <v>3.3347222222222735E-4</v>
      </c>
      <c r="L68" s="76">
        <f>VARP('1'!L54,'2'!L54,'3'!L54,'4'!L54,'5'!L54,'6'!L54)</f>
        <v>1.4252222222222082E-3</v>
      </c>
      <c r="M68" s="76">
        <f>VARP('1'!M54,'2'!M54,'3'!M54,'4'!M54,'5'!M54,'6'!M54)</f>
        <v>3.3893888888888862E-2</v>
      </c>
      <c r="N68" s="77">
        <f>VARP('1'!N54,'2'!N54,'3'!N54,'4'!N54,'5'!N54,'6'!N54)</f>
        <v>7.9893000000000006E-2</v>
      </c>
      <c r="O68" s="76">
        <f>VARP('1'!O54,'2'!O54,'3'!O54,'4'!O54,'5'!O54,'6'!O54)</f>
        <v>3.0943555555555575E-2</v>
      </c>
      <c r="P68" s="76">
        <f>VARP('1'!P54,'2'!P54,'3'!P54,'4'!P54,'5'!P54,'6'!P54)</f>
        <v>0</v>
      </c>
      <c r="Q68" s="76">
        <f>VARP('1'!Q54,'2'!Q54,'3'!Q54,'4'!Q54,'5'!Q54,'6'!Q54)</f>
        <v>1.2534722222222389E-3</v>
      </c>
      <c r="R68" s="76">
        <f>VARP('1'!R54,'2'!R54,'3'!R54,'4'!R54,'5'!R54,'6'!R54)</f>
        <v>2.082222222222211E-3</v>
      </c>
      <c r="S68" s="76">
        <f>VARP('1'!S54,'2'!S54,'3'!S54,'4'!S54,'5'!S54,'6'!S54)</f>
        <v>2.3112499999999839E-3</v>
      </c>
      <c r="T68" s="77">
        <f>VARP('1'!T54,'2'!T54,'3'!T54,'4'!T54,'5'!T54,'6'!T54)</f>
        <v>1.4252222222222301E-3</v>
      </c>
    </row>
    <row r="69" spans="2:20">
      <c r="B69" s="26" t="s">
        <v>3</v>
      </c>
      <c r="C69" s="75">
        <f>VARP('1'!C55,'2'!C55,'3'!C55,'4'!C55,'5'!C55,'6'!C55)</f>
        <v>0.13820847222222257</v>
      </c>
      <c r="D69" s="76">
        <f>VARP('1'!D55,'2'!D55,'3'!D55,'4'!D55,'5'!D55,'6'!D55)</f>
        <v>0</v>
      </c>
      <c r="E69" s="76">
        <f>VARP('1'!E55,'2'!E55,'3'!E55,'4'!E55,'5'!E55,'6'!E55)</f>
        <v>0</v>
      </c>
      <c r="F69" s="76">
        <f>VARP('1'!F55,'2'!F55,'3'!F55,'4'!F55,'5'!F55,'6'!F55)</f>
        <v>5.4458333333332672E-4</v>
      </c>
      <c r="G69" s="76">
        <f>VARP('1'!G55,'2'!G55,'3'!G55,'4'!G55,'5'!G55,'6'!G55)</f>
        <v>0.13905522222222227</v>
      </c>
      <c r="H69" s="77">
        <f>VARP('1'!H55,'2'!H55,'3'!H55,'4'!H55,'5'!H55,'6'!H55)</f>
        <v>1.9100555555555589E-2</v>
      </c>
      <c r="I69" s="76">
        <f>VARP('1'!I55,'2'!I55,'3'!I55,'4'!I55,'5'!I55,'6'!I55)</f>
        <v>0.26366933333333353</v>
      </c>
      <c r="J69" s="76">
        <f>VARP('1'!J55,'2'!J55,'3'!J55,'4'!J55,'5'!J55,'6'!J55)</f>
        <v>0</v>
      </c>
      <c r="K69" s="76">
        <f>VARP('1'!K55,'2'!K55,'3'!K55,'4'!K55,'5'!K55,'6'!K55)</f>
        <v>3.3347222222221526E-4</v>
      </c>
      <c r="L69" s="76">
        <f>VARP('1'!L55,'2'!L55,'3'!L55,'4'!L55,'5'!L55,'6'!L55)</f>
        <v>8.5422222222222392E-3</v>
      </c>
      <c r="M69" s="76">
        <f>VARP('1'!M55,'2'!M55,'3'!M55,'4'!M55,'5'!M55,'6'!M55)</f>
        <v>7.202747222222218E-2</v>
      </c>
      <c r="N69" s="77">
        <f>VARP('1'!N55,'2'!N55,'3'!N55,'4'!N55,'5'!N55,'6'!N55)</f>
        <v>7.5809805555555651E-2</v>
      </c>
      <c r="O69" s="76">
        <f>VARP('1'!O55,'2'!O55,'3'!O55,'4'!O55,'5'!O55,'6'!O55)</f>
        <v>4.4697222222222263E-2</v>
      </c>
      <c r="P69" s="76">
        <f>VARP('1'!P55,'2'!P55,'3'!P55,'4'!P55,'5'!P55,'6'!P55)</f>
        <v>0</v>
      </c>
      <c r="Q69" s="76">
        <f>VARP('1'!Q55,'2'!Q55,'3'!Q55,'4'!Q55,'5'!Q55,'6'!Q55)</f>
        <v>0</v>
      </c>
      <c r="R69" s="76">
        <f>VARP('1'!R55,'2'!R55,'3'!R55,'4'!R55,'5'!R55,'6'!R55)</f>
        <v>4.5125000000000047E-2</v>
      </c>
      <c r="S69" s="76">
        <f>VARP('1'!S55,'2'!S55,'3'!S55,'4'!S55,'5'!S55,'6'!S55)</f>
        <v>0</v>
      </c>
      <c r="T69" s="77">
        <f>VARP('1'!T55,'2'!T55,'3'!T55,'4'!T55,'5'!T55,'6'!T55)</f>
        <v>4.3612500000000005E-3</v>
      </c>
    </row>
    <row r="70" spans="2:20">
      <c r="B70" s="26" t="s">
        <v>4</v>
      </c>
      <c r="C70" s="75">
        <f>VARP('1'!C56,'2'!C56,'3'!C56,'4'!C56,'5'!C56,'6'!C56)</f>
        <v>0.34998625000000022</v>
      </c>
      <c r="D70" s="76">
        <f>VARP('1'!D56,'2'!D56,'3'!D56,'4'!D56,'5'!D56,'6'!D56)</f>
        <v>2.7138888888888751E-3</v>
      </c>
      <c r="E70" s="76">
        <f>VARP('1'!E56,'2'!E56,'3'!E56,'4'!E56,'5'!E56,'6'!E56)</f>
        <v>1.2006555555555583E-2</v>
      </c>
      <c r="F70" s="76">
        <f>VARP('1'!F56,'2'!F56,'3'!F56,'4'!F56,'5'!F56,'6'!F56)</f>
        <v>1.4252222222222296E-3</v>
      </c>
      <c r="G70" s="76">
        <f>VARP('1'!G56,'2'!G56,'3'!G56,'4'!G56,'5'!G56,'6'!G56)</f>
        <v>0.12891480555555557</v>
      </c>
      <c r="H70" s="77">
        <f>VARP('1'!H56,'2'!H56,'3'!H56,'4'!H56,'5'!H56,'6'!H56)</f>
        <v>0.32900725000000008</v>
      </c>
      <c r="I70" s="76">
        <f>VARP('1'!I56,'2'!I56,'3'!I56,'4'!I56,'5'!I56,'6'!I56)</f>
        <v>9.8330333333333783E-2</v>
      </c>
      <c r="J70" s="76">
        <f>VARP('1'!J56,'2'!J56,'3'!J56,'4'!J56,'5'!J56,'6'!J56)</f>
        <v>1.8721388888888776E-3</v>
      </c>
      <c r="K70" s="76">
        <f>VARP('1'!K56,'2'!K56,'3'!K56,'4'!K56,'5'!K56,'6'!K56)</f>
        <v>2.1533333333333222E-3</v>
      </c>
      <c r="L70" s="76">
        <f>VARP('1'!L56,'2'!L56,'3'!L56,'4'!L56,'5'!L56,'6'!L56)</f>
        <v>7.6055555555557051E-4</v>
      </c>
      <c r="M70" s="76">
        <f>VARP('1'!M56,'2'!M56,'3'!M56,'4'!M56,'5'!M56,'6'!M56)</f>
        <v>8.6112499999999783E-3</v>
      </c>
      <c r="N70" s="77">
        <f>VARP('1'!N56,'2'!N56,'3'!N56,'4'!N56,'5'!N56,'6'!N56)</f>
        <v>7.2727015265434819E-2</v>
      </c>
      <c r="O70" s="76">
        <f>VARP('1'!O56,'2'!O56,'3'!O56,'4'!O56,'5'!O56,'6'!O56)</f>
        <v>5.2697916666666712E-2</v>
      </c>
      <c r="P70" s="76">
        <f>VARP('1'!P56,'2'!P56,'3'!P56,'4'!P56,'5'!P56,'6'!P56)</f>
        <v>8.0000000000000142E-5</v>
      </c>
      <c r="Q70" s="76">
        <f>VARP('1'!Q56,'2'!Q56,'3'!Q56,'4'!Q56,'5'!Q56,'6'!Q56)</f>
        <v>0</v>
      </c>
      <c r="R70" s="76">
        <f>VARP('1'!R56,'2'!R56,'3'!R56,'4'!R56,'5'!R56,'6'!R56)</f>
        <v>2.2222222222222267E-4</v>
      </c>
      <c r="S70" s="76">
        <f>VARP('1'!S56,'2'!S56,'3'!S56,'4'!S56,'5'!S56,'6'!S56)</f>
        <v>0</v>
      </c>
      <c r="T70" s="77">
        <f>VARP('1'!T56,'2'!T56,'3'!T56,'4'!T56,'5'!T56,'6'!T56)</f>
        <v>2.2111249999999999E-2</v>
      </c>
    </row>
    <row r="71" spans="2:20" ht="15.75" thickBot="1">
      <c r="B71" s="28" t="s">
        <v>5</v>
      </c>
      <c r="C71" s="78">
        <f>VARP('1'!C57,'2'!C57,'3'!C57,'4'!C57,'5'!C57,'6'!C57)</f>
        <v>2.6757201388889484E-2</v>
      </c>
      <c r="D71" s="79">
        <f>VARP('1'!D57,'2'!D57,'3'!D57,'4'!D57,'5'!D57,'6'!D57)</f>
        <v>0</v>
      </c>
      <c r="E71" s="79">
        <f>VARP('1'!E57,'2'!E57,'3'!E57,'4'!E57,'5'!E57,'6'!E57)</f>
        <v>0</v>
      </c>
      <c r="F71" s="79">
        <f>VARP('1'!F57,'2'!F57,'3'!F57,'4'!F57,'5'!F57,'6'!F57)</f>
        <v>1.9013888888888886E-2</v>
      </c>
      <c r="G71" s="79">
        <f>VARP('1'!G57,'2'!G57,'3'!G57,'4'!G57,'5'!G57,'6'!G57)</f>
        <v>2.653955555555557E-2</v>
      </c>
      <c r="H71" s="80">
        <f>VARP('1'!H57,'2'!H57,'3'!H57,'4'!H57,'5'!H57,'6'!H57)</f>
        <v>3.7827333333333435E-2</v>
      </c>
      <c r="I71" s="79">
        <f>VARP('1'!I57,'2'!I57,'3'!I57,'4'!I57,'5'!I57,'6'!I57)</f>
        <v>0.13473922222222218</v>
      </c>
      <c r="J71" s="79">
        <f>VARP('1'!J57,'2'!J57,'3'!J57,'4'!J57,'5'!J57,'6'!J57)</f>
        <v>0</v>
      </c>
      <c r="K71" s="79">
        <f>VARP('1'!K57,'2'!K57,'3'!K57,'4'!K57,'5'!K57,'6'!K57)</f>
        <v>4.6092500000000196E-3</v>
      </c>
      <c r="L71" s="79">
        <f>VARP('1'!L57,'2'!L57,'3'!L57,'4'!L57,'5'!L57,'6'!L57)</f>
        <v>0</v>
      </c>
      <c r="M71" s="79">
        <f>VARP('1'!M57,'2'!M57,'3'!M57,'4'!M57,'5'!M57,'6'!M57)</f>
        <v>0</v>
      </c>
      <c r="N71" s="80">
        <f>VARP('1'!N57,'2'!N57,'3'!N57,'4'!N57,'5'!N57,'6'!N57)</f>
        <v>6.0577555555555537E-2</v>
      </c>
      <c r="O71" s="79">
        <f>VARP('1'!O57,'2'!O57,'3'!O57,'4'!O57,'5'!O57,'6'!O57)</f>
        <v>1.7433333333333363E-2</v>
      </c>
      <c r="P71" s="79">
        <f>VARP('1'!P57,'2'!P57,'3'!P57,'4'!P57,'5'!P57,'6'!P57)</f>
        <v>0</v>
      </c>
      <c r="Q71" s="79">
        <f>VARP('1'!Q57,'2'!Q57,'3'!Q57,'4'!Q57,'5'!Q57,'6'!Q57)</f>
        <v>0</v>
      </c>
      <c r="R71" s="79">
        <f>VARP('1'!R57,'2'!R57,'3'!R57,'4'!R57,'5'!R57,'6'!R57)</f>
        <v>0</v>
      </c>
      <c r="S71" s="79">
        <f>VARP('1'!S57,'2'!S57,'3'!S57,'4'!S57,'5'!S57,'6'!S57)</f>
        <v>0</v>
      </c>
      <c r="T71" s="80">
        <f>VARP('1'!T57,'2'!T57,'3'!T57,'4'!T57,'5'!T57,'6'!T57)</f>
        <v>0</v>
      </c>
    </row>
  </sheetData>
  <mergeCells count="43">
    <mergeCell ref="C64:H64"/>
    <mergeCell ref="I64:N64"/>
    <mergeCell ref="O64:T64"/>
    <mergeCell ref="C63:T63"/>
    <mergeCell ref="A1:B1"/>
    <mergeCell ref="C3:T3"/>
    <mergeCell ref="C4:H4"/>
    <mergeCell ref="I4:N4"/>
    <mergeCell ref="O4:T4"/>
    <mergeCell ref="B15:B17"/>
    <mergeCell ref="C15:T15"/>
    <mergeCell ref="C16:H16"/>
    <mergeCell ref="I16:N16"/>
    <mergeCell ref="O16:T16"/>
    <mergeCell ref="B26:B28"/>
    <mergeCell ref="C26:T26"/>
    <mergeCell ref="V15:V17"/>
    <mergeCell ref="W15:AN15"/>
    <mergeCell ref="W16:AB16"/>
    <mergeCell ref="AC16:AH16"/>
    <mergeCell ref="AI16:AN16"/>
    <mergeCell ref="V26:V28"/>
    <mergeCell ref="W26:AN26"/>
    <mergeCell ref="C27:H27"/>
    <mergeCell ref="I27:N27"/>
    <mergeCell ref="O27:T27"/>
    <mergeCell ref="W27:AB27"/>
    <mergeCell ref="AC27:AH27"/>
    <mergeCell ref="AI27:AN27"/>
    <mergeCell ref="V38:V40"/>
    <mergeCell ref="W38:AN38"/>
    <mergeCell ref="C39:H39"/>
    <mergeCell ref="I39:N39"/>
    <mergeCell ref="O39:T39"/>
    <mergeCell ref="W39:AB39"/>
    <mergeCell ref="AC39:AH39"/>
    <mergeCell ref="AI39:AN39"/>
    <mergeCell ref="C51:T51"/>
    <mergeCell ref="C52:H52"/>
    <mergeCell ref="I52:N52"/>
    <mergeCell ref="O52:T52"/>
    <mergeCell ref="B38:B40"/>
    <mergeCell ref="C38:T38"/>
  </mergeCell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N68"/>
  <sheetViews>
    <sheetView topLeftCell="A46" zoomScale="90" zoomScaleNormal="90" workbookViewId="0">
      <selection activeCell="O50" sqref="O50:T51"/>
    </sheetView>
  </sheetViews>
  <sheetFormatPr defaultRowHeight="15"/>
  <cols>
    <col min="1" max="16384" width="9.140625" style="1"/>
  </cols>
  <sheetData>
    <row r="1" spans="1:40">
      <c r="A1" s="94" t="s">
        <v>13</v>
      </c>
      <c r="B1" s="94"/>
      <c r="C1" s="43"/>
      <c r="D1" s="38"/>
      <c r="E1" s="38"/>
      <c r="F1" s="38"/>
      <c r="G1" s="38"/>
    </row>
    <row r="2" spans="1:40" ht="15.75" thickBot="1">
      <c r="C2" s="39"/>
      <c r="D2" s="39"/>
      <c r="E2" s="39"/>
      <c r="F2" s="39"/>
    </row>
    <row r="3" spans="1:40" ht="15.75" thickBot="1">
      <c r="C3" s="91" t="s">
        <v>16</v>
      </c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3"/>
    </row>
    <row r="4" spans="1:40" ht="15.75" thickBot="1">
      <c r="B4" s="2"/>
      <c r="C4" s="88" t="s">
        <v>15</v>
      </c>
      <c r="D4" s="89"/>
      <c r="E4" s="89"/>
      <c r="F4" s="89"/>
      <c r="G4" s="89"/>
      <c r="H4" s="90"/>
      <c r="I4" s="88" t="s">
        <v>6</v>
      </c>
      <c r="J4" s="89"/>
      <c r="K4" s="89"/>
      <c r="L4" s="89"/>
      <c r="M4" s="89"/>
      <c r="N4" s="90"/>
      <c r="O4" s="88" t="s">
        <v>17</v>
      </c>
      <c r="P4" s="89"/>
      <c r="Q4" s="89"/>
      <c r="R4" s="89"/>
      <c r="S4" s="89"/>
      <c r="T4" s="90"/>
    </row>
    <row r="5" spans="1:40" ht="15.75" thickBot="1">
      <c r="B5" s="2"/>
      <c r="C5" s="3" t="s">
        <v>7</v>
      </c>
      <c r="D5" s="4" t="s">
        <v>8</v>
      </c>
      <c r="E5" s="4" t="s">
        <v>9</v>
      </c>
      <c r="F5" s="4" t="s">
        <v>10</v>
      </c>
      <c r="G5" s="4" t="s">
        <v>11</v>
      </c>
      <c r="H5" s="5" t="s">
        <v>12</v>
      </c>
      <c r="I5" s="6" t="s">
        <v>7</v>
      </c>
      <c r="J5" s="7" t="s">
        <v>8</v>
      </c>
      <c r="K5" s="7" t="s">
        <v>9</v>
      </c>
      <c r="L5" s="7" t="s">
        <v>10</v>
      </c>
      <c r="M5" s="7" t="s">
        <v>11</v>
      </c>
      <c r="N5" s="8" t="s">
        <v>12</v>
      </c>
      <c r="O5" s="6" t="s">
        <v>7</v>
      </c>
      <c r="P5" s="7" t="s">
        <v>8</v>
      </c>
      <c r="Q5" s="7" t="s">
        <v>9</v>
      </c>
      <c r="R5" s="7" t="s">
        <v>10</v>
      </c>
      <c r="S5" s="7" t="s">
        <v>11</v>
      </c>
      <c r="T5" s="8" t="s">
        <v>12</v>
      </c>
    </row>
    <row r="6" spans="1:40">
      <c r="B6" s="9" t="s">
        <v>0</v>
      </c>
      <c r="C6" s="19"/>
      <c r="D6" s="20"/>
      <c r="E6" s="20"/>
      <c r="F6" s="20"/>
      <c r="G6" s="20"/>
      <c r="H6" s="21"/>
      <c r="I6" s="2"/>
      <c r="J6" s="2"/>
      <c r="K6" s="2"/>
      <c r="L6" s="2"/>
      <c r="M6" s="2"/>
      <c r="N6" s="10"/>
      <c r="P6" s="2"/>
      <c r="Q6" s="2"/>
      <c r="R6" s="2"/>
      <c r="S6" s="2"/>
      <c r="T6" s="10"/>
    </row>
    <row r="7" spans="1:40">
      <c r="B7" s="11" t="s">
        <v>1</v>
      </c>
      <c r="C7" s="22"/>
      <c r="D7" s="2"/>
      <c r="E7" s="2"/>
      <c r="F7" s="2"/>
      <c r="G7" s="2"/>
      <c r="H7" s="10"/>
      <c r="I7" s="2"/>
      <c r="J7" s="2"/>
      <c r="K7" s="2"/>
      <c r="L7" s="2"/>
      <c r="M7" s="2"/>
      <c r="N7" s="10"/>
      <c r="O7" s="2"/>
      <c r="P7" s="2"/>
      <c r="Q7" s="2"/>
      <c r="R7" s="2"/>
      <c r="S7" s="2"/>
      <c r="T7" s="10"/>
    </row>
    <row r="8" spans="1:40">
      <c r="B8" s="11" t="s">
        <v>2</v>
      </c>
      <c r="C8" s="22"/>
      <c r="D8" s="2"/>
      <c r="E8" s="2"/>
      <c r="F8" s="2"/>
      <c r="G8" s="2"/>
      <c r="H8" s="10"/>
      <c r="I8" s="2"/>
      <c r="J8" s="2"/>
      <c r="K8" s="2"/>
      <c r="L8" s="2"/>
      <c r="M8" s="2"/>
      <c r="N8" s="10"/>
      <c r="O8" s="2"/>
      <c r="P8" s="2"/>
      <c r="Q8" s="2"/>
      <c r="R8" s="2"/>
      <c r="S8" s="2"/>
      <c r="T8" s="10"/>
    </row>
    <row r="9" spans="1:40">
      <c r="B9" s="11" t="s">
        <v>3</v>
      </c>
      <c r="C9" s="22"/>
      <c r="D9" s="2"/>
      <c r="E9" s="2"/>
      <c r="F9" s="2"/>
      <c r="G9" s="2"/>
      <c r="H9" s="10"/>
      <c r="I9" s="2"/>
      <c r="J9" s="2"/>
      <c r="K9" s="2"/>
      <c r="L9" s="2"/>
      <c r="M9" s="2"/>
      <c r="N9" s="10"/>
      <c r="O9" s="2"/>
      <c r="P9" s="2"/>
      <c r="Q9" s="2"/>
      <c r="R9" s="2"/>
      <c r="S9" s="2"/>
      <c r="T9" s="10"/>
    </row>
    <row r="10" spans="1:40">
      <c r="B10" s="11" t="s">
        <v>4</v>
      </c>
      <c r="C10" s="22"/>
      <c r="D10" s="2"/>
      <c r="E10" s="2"/>
      <c r="F10" s="2"/>
      <c r="G10" s="2"/>
      <c r="H10" s="10"/>
      <c r="I10" s="2"/>
      <c r="J10" s="2"/>
      <c r="K10" s="2"/>
      <c r="L10" s="2"/>
      <c r="M10" s="2"/>
      <c r="N10" s="10"/>
      <c r="O10" s="2"/>
      <c r="P10" s="2"/>
      <c r="Q10" s="2"/>
      <c r="R10" s="2"/>
      <c r="S10" s="2"/>
      <c r="T10" s="10"/>
    </row>
    <row r="11" spans="1:40" ht="15.75" thickBot="1">
      <c r="B11" s="12" t="s">
        <v>5</v>
      </c>
      <c r="C11" s="23"/>
      <c r="D11" s="13"/>
      <c r="E11" s="13"/>
      <c r="F11" s="13"/>
      <c r="G11" s="13"/>
      <c r="H11" s="14"/>
      <c r="I11" s="13"/>
      <c r="J11" s="13"/>
      <c r="K11" s="13"/>
      <c r="L11" s="13"/>
      <c r="M11" s="13"/>
      <c r="N11" s="14"/>
      <c r="O11" s="13"/>
      <c r="P11" s="13"/>
      <c r="Q11" s="13"/>
      <c r="R11" s="13"/>
      <c r="S11" s="13"/>
      <c r="T11" s="14"/>
    </row>
    <row r="12" spans="1:40" ht="15.75" thickBot="1">
      <c r="B12" s="15" t="s">
        <v>22</v>
      </c>
      <c r="C12" s="32" t="s">
        <v>23</v>
      </c>
      <c r="D12" s="33">
        <v>2.6549999999999998</v>
      </c>
      <c r="E12" s="34" t="s">
        <v>24</v>
      </c>
      <c r="F12" s="33">
        <v>5.1449999999999996</v>
      </c>
      <c r="G12" s="30" t="s">
        <v>21</v>
      </c>
      <c r="H12" s="33">
        <f>F12-D12</f>
        <v>2.4899999999999998</v>
      </c>
      <c r="I12" s="33" t="s">
        <v>23</v>
      </c>
      <c r="J12" s="33">
        <f>F12</f>
        <v>5.1449999999999996</v>
      </c>
      <c r="K12" s="33" t="s">
        <v>24</v>
      </c>
      <c r="L12" s="33">
        <f>6.425</f>
        <v>6.4249999999999998</v>
      </c>
      <c r="M12" s="33" t="s">
        <v>21</v>
      </c>
      <c r="N12" s="33">
        <f>L12-J12</f>
        <v>1.2800000000000002</v>
      </c>
      <c r="O12" s="33" t="s">
        <v>23</v>
      </c>
      <c r="P12" s="33">
        <f>L12</f>
        <v>6.4249999999999998</v>
      </c>
      <c r="Q12" s="33" t="s">
        <v>24</v>
      </c>
      <c r="R12" s="33">
        <v>6.82</v>
      </c>
      <c r="S12" s="33" t="s">
        <v>21</v>
      </c>
      <c r="T12" s="18">
        <f>R12-P12</f>
        <v>0.39500000000000046</v>
      </c>
    </row>
    <row r="14" spans="1:40" ht="15.75" thickBot="1">
      <c r="B14" s="41" t="s">
        <v>31</v>
      </c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</row>
    <row r="15" spans="1:40" ht="15.75" thickBot="1">
      <c r="B15" s="82" t="s">
        <v>7</v>
      </c>
      <c r="C15" s="85" t="s">
        <v>20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7"/>
      <c r="V15" s="82" t="s">
        <v>28</v>
      </c>
      <c r="W15" s="85" t="s">
        <v>20</v>
      </c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7"/>
    </row>
    <row r="16" spans="1:40" ht="15.75" thickBot="1">
      <c r="B16" s="83"/>
      <c r="C16" s="88" t="s">
        <v>15</v>
      </c>
      <c r="D16" s="89"/>
      <c r="E16" s="89"/>
      <c r="F16" s="89"/>
      <c r="G16" s="89"/>
      <c r="H16" s="90"/>
      <c r="I16" s="88" t="s">
        <v>6</v>
      </c>
      <c r="J16" s="89"/>
      <c r="K16" s="89"/>
      <c r="L16" s="89"/>
      <c r="M16" s="89"/>
      <c r="N16" s="90"/>
      <c r="O16" s="88" t="s">
        <v>17</v>
      </c>
      <c r="P16" s="89"/>
      <c r="Q16" s="89"/>
      <c r="R16" s="89"/>
      <c r="S16" s="89"/>
      <c r="T16" s="90"/>
      <c r="V16" s="83"/>
      <c r="W16" s="88" t="s">
        <v>15</v>
      </c>
      <c r="X16" s="89"/>
      <c r="Y16" s="89"/>
      <c r="Z16" s="89"/>
      <c r="AA16" s="89"/>
      <c r="AB16" s="90"/>
      <c r="AC16" s="88" t="s">
        <v>6</v>
      </c>
      <c r="AD16" s="89"/>
      <c r="AE16" s="89"/>
      <c r="AF16" s="89"/>
      <c r="AG16" s="89"/>
      <c r="AH16" s="90"/>
      <c r="AI16" s="88" t="s">
        <v>17</v>
      </c>
      <c r="AJ16" s="89"/>
      <c r="AK16" s="89"/>
      <c r="AL16" s="89"/>
      <c r="AM16" s="89"/>
      <c r="AN16" s="90"/>
    </row>
    <row r="17" spans="2:40" ht="15.75" thickBot="1">
      <c r="B17" s="84"/>
      <c r="C17" s="3" t="s">
        <v>7</v>
      </c>
      <c r="D17" s="4" t="s">
        <v>8</v>
      </c>
      <c r="E17" s="4" t="s">
        <v>9</v>
      </c>
      <c r="F17" s="4" t="s">
        <v>10</v>
      </c>
      <c r="G17" s="4" t="s">
        <v>11</v>
      </c>
      <c r="H17" s="5" t="s">
        <v>12</v>
      </c>
      <c r="I17" s="6" t="s">
        <v>7</v>
      </c>
      <c r="J17" s="7" t="s">
        <v>8</v>
      </c>
      <c r="K17" s="7" t="s">
        <v>9</v>
      </c>
      <c r="L17" s="7" t="s">
        <v>10</v>
      </c>
      <c r="M17" s="7" t="s">
        <v>11</v>
      </c>
      <c r="N17" s="8" t="s">
        <v>12</v>
      </c>
      <c r="O17" s="6" t="s">
        <v>7</v>
      </c>
      <c r="P17" s="7" t="s">
        <v>8</v>
      </c>
      <c r="Q17" s="7" t="s">
        <v>9</v>
      </c>
      <c r="R17" s="7" t="s">
        <v>10</v>
      </c>
      <c r="S17" s="7" t="s">
        <v>11</v>
      </c>
      <c r="T17" s="8" t="s">
        <v>12</v>
      </c>
      <c r="V17" s="84"/>
      <c r="W17" s="3" t="s">
        <v>7</v>
      </c>
      <c r="X17" s="4" t="s">
        <v>8</v>
      </c>
      <c r="Y17" s="4" t="s">
        <v>9</v>
      </c>
      <c r="Z17" s="4" t="s">
        <v>10</v>
      </c>
      <c r="AA17" s="4" t="s">
        <v>11</v>
      </c>
      <c r="AB17" s="5" t="s">
        <v>12</v>
      </c>
      <c r="AC17" s="6" t="s">
        <v>7</v>
      </c>
      <c r="AD17" s="7" t="s">
        <v>8</v>
      </c>
      <c r="AE17" s="7" t="s">
        <v>9</v>
      </c>
      <c r="AF17" s="7" t="s">
        <v>10</v>
      </c>
      <c r="AG17" s="7" t="s">
        <v>11</v>
      </c>
      <c r="AH17" s="8" t="s">
        <v>12</v>
      </c>
      <c r="AI17" s="6" t="s">
        <v>7</v>
      </c>
      <c r="AJ17" s="7" t="s">
        <v>8</v>
      </c>
      <c r="AK17" s="7" t="s">
        <v>9</v>
      </c>
      <c r="AL17" s="7" t="s">
        <v>10</v>
      </c>
      <c r="AM17" s="7" t="s">
        <v>11</v>
      </c>
      <c r="AN17" s="8" t="s">
        <v>12</v>
      </c>
    </row>
    <row r="18" spans="2:40">
      <c r="B18" s="11" t="s">
        <v>7</v>
      </c>
      <c r="C18" s="19"/>
      <c r="D18" s="20"/>
      <c r="E18" s="20"/>
      <c r="F18" s="20"/>
      <c r="G18" s="20"/>
      <c r="H18" s="21"/>
      <c r="J18" s="2"/>
      <c r="K18" s="2"/>
      <c r="L18" s="2"/>
      <c r="M18" s="2"/>
      <c r="N18" s="10"/>
      <c r="O18" s="2"/>
      <c r="P18" s="2"/>
      <c r="Q18" s="2"/>
      <c r="R18" s="2"/>
      <c r="S18" s="2"/>
      <c r="T18" s="10"/>
      <c r="V18" s="11" t="s">
        <v>7</v>
      </c>
      <c r="W18" s="19"/>
      <c r="X18" s="20"/>
      <c r="Y18" s="20"/>
      <c r="Z18" s="20"/>
      <c r="AA18" s="20"/>
      <c r="AB18" s="21"/>
      <c r="AC18" s="2"/>
      <c r="AD18" s="2"/>
      <c r="AE18" s="2"/>
      <c r="AF18" s="2"/>
      <c r="AG18" s="2"/>
      <c r="AH18" s="10"/>
      <c r="AI18" s="2"/>
      <c r="AJ18" s="2"/>
      <c r="AK18" s="2"/>
      <c r="AL18" s="2"/>
      <c r="AM18" s="2"/>
      <c r="AN18" s="10"/>
    </row>
    <row r="19" spans="2:40">
      <c r="B19" s="11" t="s">
        <v>8</v>
      </c>
      <c r="C19" s="22"/>
      <c r="D19" s="2"/>
      <c r="E19" s="2"/>
      <c r="F19" s="2"/>
      <c r="G19" s="2"/>
      <c r="H19" s="10"/>
      <c r="I19" s="2"/>
      <c r="J19" s="2"/>
      <c r="K19" s="2"/>
      <c r="L19" s="2"/>
      <c r="M19" s="2"/>
      <c r="N19" s="10"/>
      <c r="O19" s="2"/>
      <c r="P19" s="2"/>
      <c r="Q19" s="2"/>
      <c r="R19" s="2"/>
      <c r="S19" s="2"/>
      <c r="T19" s="10"/>
      <c r="V19" s="11" t="s">
        <v>8</v>
      </c>
      <c r="W19" s="22"/>
      <c r="X19" s="2"/>
      <c r="Y19" s="2"/>
      <c r="Z19" s="2"/>
      <c r="AA19" s="2"/>
      <c r="AB19" s="10"/>
      <c r="AC19" s="2"/>
      <c r="AD19" s="2"/>
      <c r="AE19" s="2"/>
      <c r="AF19" s="2"/>
      <c r="AG19" s="2"/>
      <c r="AH19" s="10"/>
      <c r="AI19" s="2"/>
      <c r="AJ19" s="2"/>
      <c r="AK19" s="2"/>
      <c r="AL19" s="2"/>
      <c r="AM19" s="2"/>
      <c r="AN19" s="10"/>
    </row>
    <row r="20" spans="2:40">
      <c r="B20" s="11" t="s">
        <v>9</v>
      </c>
      <c r="C20" s="22"/>
      <c r="D20" s="2"/>
      <c r="E20" s="2"/>
      <c r="F20" s="2"/>
      <c r="G20" s="2"/>
      <c r="H20" s="10"/>
      <c r="I20" s="2"/>
      <c r="J20" s="2"/>
      <c r="K20" s="2"/>
      <c r="L20" s="2"/>
      <c r="M20" s="2"/>
      <c r="N20" s="10"/>
      <c r="O20" s="2"/>
      <c r="P20" s="2"/>
      <c r="Q20" s="2"/>
      <c r="R20" s="2"/>
      <c r="S20" s="2"/>
      <c r="T20" s="10"/>
      <c r="V20" s="11" t="s">
        <v>9</v>
      </c>
      <c r="W20" s="22"/>
      <c r="X20" s="2"/>
      <c r="Y20" s="2"/>
      <c r="Z20" s="2"/>
      <c r="AA20" s="2"/>
      <c r="AB20" s="10"/>
      <c r="AC20" s="2"/>
      <c r="AD20" s="2"/>
      <c r="AE20" s="2"/>
      <c r="AF20" s="2"/>
      <c r="AG20" s="2"/>
      <c r="AH20" s="10"/>
      <c r="AI20" s="2"/>
      <c r="AJ20" s="2"/>
      <c r="AK20" s="2"/>
      <c r="AL20" s="2"/>
      <c r="AM20" s="2"/>
      <c r="AN20" s="10"/>
    </row>
    <row r="21" spans="2:40">
      <c r="B21" s="11" t="s">
        <v>10</v>
      </c>
      <c r="C21" s="22"/>
      <c r="D21" s="2"/>
      <c r="E21" s="2"/>
      <c r="F21" s="2"/>
      <c r="G21" s="2"/>
      <c r="H21" s="10"/>
      <c r="I21" s="2"/>
      <c r="J21" s="2"/>
      <c r="K21" s="2"/>
      <c r="L21" s="2"/>
      <c r="M21" s="2"/>
      <c r="N21" s="10"/>
      <c r="O21" s="2"/>
      <c r="P21" s="2"/>
      <c r="Q21" s="2"/>
      <c r="R21" s="2"/>
      <c r="S21" s="2"/>
      <c r="T21" s="10"/>
      <c r="V21" s="11" t="s">
        <v>10</v>
      </c>
      <c r="W21" s="22"/>
      <c r="X21" s="2"/>
      <c r="Y21" s="2"/>
      <c r="Z21" s="2"/>
      <c r="AA21" s="2"/>
      <c r="AB21" s="10"/>
      <c r="AC21" s="2"/>
      <c r="AD21" s="2"/>
      <c r="AE21" s="2"/>
      <c r="AF21" s="2"/>
      <c r="AG21" s="2"/>
      <c r="AH21" s="10"/>
      <c r="AI21" s="2"/>
      <c r="AJ21" s="2"/>
      <c r="AK21" s="2"/>
      <c r="AL21" s="2"/>
      <c r="AM21" s="2"/>
      <c r="AN21" s="10"/>
    </row>
    <row r="22" spans="2:40">
      <c r="B22" s="11" t="s">
        <v>11</v>
      </c>
      <c r="C22" s="22"/>
      <c r="E22" s="2"/>
      <c r="F22" s="2"/>
      <c r="G22" s="2"/>
      <c r="H22" s="10"/>
      <c r="I22" s="2"/>
      <c r="K22" s="2"/>
      <c r="L22" s="2"/>
      <c r="M22" s="2"/>
      <c r="N22" s="10"/>
      <c r="O22" s="2"/>
      <c r="Q22" s="2"/>
      <c r="R22" s="2"/>
      <c r="S22" s="2"/>
      <c r="T22" s="10"/>
      <c r="V22" s="11" t="s">
        <v>11</v>
      </c>
      <c r="X22" s="2"/>
      <c r="Z22" s="2"/>
      <c r="AA22" s="2"/>
      <c r="AB22" s="10"/>
      <c r="AC22" s="2"/>
      <c r="AD22" s="2"/>
      <c r="AE22" s="2"/>
      <c r="AF22" s="2"/>
      <c r="AG22" s="2"/>
      <c r="AH22" s="10"/>
      <c r="AI22" s="2"/>
      <c r="AJ22" s="2"/>
      <c r="AK22" s="2"/>
      <c r="AL22" s="2"/>
      <c r="AM22" s="2"/>
      <c r="AN22" s="10"/>
    </row>
    <row r="23" spans="2:40" ht="15.75" thickBot="1">
      <c r="B23" s="12" t="s">
        <v>12</v>
      </c>
      <c r="C23" s="23"/>
      <c r="D23" s="2"/>
      <c r="E23" s="13"/>
      <c r="F23" s="13"/>
      <c r="G23" s="13"/>
      <c r="H23" s="14"/>
      <c r="I23" s="13"/>
      <c r="J23" s="2"/>
      <c r="K23" s="13"/>
      <c r="L23" s="13"/>
      <c r="M23" s="13"/>
      <c r="N23" s="14"/>
      <c r="O23" s="13"/>
      <c r="P23" s="2"/>
      <c r="Q23" s="13"/>
      <c r="R23" s="13"/>
      <c r="S23" s="13"/>
      <c r="T23" s="14"/>
      <c r="V23" s="12" t="s">
        <v>12</v>
      </c>
      <c r="W23" s="22"/>
      <c r="X23" s="13"/>
      <c r="Y23" s="2"/>
      <c r="Z23" s="13"/>
      <c r="AA23" s="13"/>
      <c r="AB23" s="14"/>
      <c r="AC23" s="13"/>
      <c r="AD23" s="13"/>
      <c r="AE23" s="13"/>
      <c r="AF23" s="13"/>
      <c r="AG23" s="13"/>
      <c r="AH23" s="14"/>
      <c r="AI23" s="13"/>
      <c r="AJ23" s="13"/>
      <c r="AK23" s="13"/>
      <c r="AL23" s="13"/>
      <c r="AM23" s="13"/>
      <c r="AN23" s="14"/>
    </row>
    <row r="24" spans="2:40" ht="15.75" thickBot="1">
      <c r="B24" s="35" t="s">
        <v>26</v>
      </c>
      <c r="C24" s="30"/>
      <c r="D24" s="16"/>
      <c r="E24" s="17"/>
      <c r="F24" s="17"/>
      <c r="G24" s="17"/>
      <c r="H24" s="18"/>
      <c r="I24" s="17"/>
      <c r="J24" s="17"/>
      <c r="K24" s="17"/>
      <c r="L24" s="17"/>
      <c r="M24" s="17"/>
      <c r="N24" s="18"/>
      <c r="O24" s="17"/>
      <c r="P24" s="17"/>
      <c r="Q24" s="17"/>
      <c r="R24" s="17"/>
      <c r="S24" s="17"/>
      <c r="T24" s="18"/>
      <c r="V24" s="35" t="s">
        <v>26</v>
      </c>
      <c r="W24" s="32"/>
      <c r="X24" s="16"/>
      <c r="Y24" s="17"/>
      <c r="Z24" s="17"/>
      <c r="AA24" s="17"/>
      <c r="AB24" s="18"/>
      <c r="AC24" s="17"/>
      <c r="AD24" s="17"/>
      <c r="AE24" s="17"/>
      <c r="AF24" s="17"/>
      <c r="AG24" s="17"/>
      <c r="AH24" s="18"/>
      <c r="AI24" s="17"/>
      <c r="AJ24" s="17"/>
      <c r="AK24" s="17"/>
      <c r="AL24" s="17"/>
      <c r="AM24" s="17"/>
      <c r="AN24" s="18"/>
    </row>
    <row r="25" spans="2:40" ht="15.75" thickBot="1">
      <c r="C25" s="31"/>
    </row>
    <row r="26" spans="2:40" ht="15.75" thickBot="1">
      <c r="B26" s="82" t="s">
        <v>25</v>
      </c>
      <c r="C26" s="85" t="s">
        <v>20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7"/>
      <c r="V26" s="82" t="s">
        <v>30</v>
      </c>
      <c r="W26" s="85" t="s">
        <v>20</v>
      </c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7"/>
    </row>
    <row r="27" spans="2:40" ht="15.75" thickBot="1">
      <c r="B27" s="83"/>
      <c r="C27" s="88" t="s">
        <v>15</v>
      </c>
      <c r="D27" s="89"/>
      <c r="E27" s="89"/>
      <c r="F27" s="89"/>
      <c r="G27" s="89"/>
      <c r="H27" s="90"/>
      <c r="I27" s="88" t="s">
        <v>6</v>
      </c>
      <c r="J27" s="89"/>
      <c r="K27" s="89"/>
      <c r="L27" s="89"/>
      <c r="M27" s="89"/>
      <c r="N27" s="90"/>
      <c r="O27" s="88" t="s">
        <v>17</v>
      </c>
      <c r="P27" s="89"/>
      <c r="Q27" s="89"/>
      <c r="R27" s="89"/>
      <c r="S27" s="89"/>
      <c r="T27" s="90"/>
      <c r="V27" s="83"/>
      <c r="W27" s="88" t="s">
        <v>15</v>
      </c>
      <c r="X27" s="89"/>
      <c r="Y27" s="89"/>
      <c r="Z27" s="89"/>
      <c r="AA27" s="89"/>
      <c r="AB27" s="90"/>
      <c r="AC27" s="88" t="s">
        <v>6</v>
      </c>
      <c r="AD27" s="89"/>
      <c r="AE27" s="89"/>
      <c r="AF27" s="89"/>
      <c r="AG27" s="89"/>
      <c r="AH27" s="90"/>
      <c r="AI27" s="88" t="s">
        <v>17</v>
      </c>
      <c r="AJ27" s="89"/>
      <c r="AK27" s="89"/>
      <c r="AL27" s="89"/>
      <c r="AM27" s="89"/>
      <c r="AN27" s="90"/>
    </row>
    <row r="28" spans="2:40" ht="15.75" thickBot="1">
      <c r="B28" s="84"/>
      <c r="C28" s="3" t="s">
        <v>7</v>
      </c>
      <c r="D28" s="4" t="s">
        <v>8</v>
      </c>
      <c r="E28" s="4" t="s">
        <v>9</v>
      </c>
      <c r="F28" s="4" t="s">
        <v>10</v>
      </c>
      <c r="G28" s="4" t="s">
        <v>11</v>
      </c>
      <c r="H28" s="5" t="s">
        <v>12</v>
      </c>
      <c r="I28" s="6" t="s">
        <v>7</v>
      </c>
      <c r="J28" s="7" t="s">
        <v>8</v>
      </c>
      <c r="K28" s="7" t="s">
        <v>9</v>
      </c>
      <c r="L28" s="7" t="s">
        <v>10</v>
      </c>
      <c r="M28" s="7" t="s">
        <v>11</v>
      </c>
      <c r="N28" s="8" t="s">
        <v>12</v>
      </c>
      <c r="O28" s="6" t="s">
        <v>7</v>
      </c>
      <c r="P28" s="7" t="s">
        <v>8</v>
      </c>
      <c r="Q28" s="7" t="s">
        <v>9</v>
      </c>
      <c r="R28" s="7" t="s">
        <v>10</v>
      </c>
      <c r="S28" s="7" t="s">
        <v>11</v>
      </c>
      <c r="T28" s="8" t="s">
        <v>12</v>
      </c>
      <c r="V28" s="84"/>
      <c r="W28" s="3" t="s">
        <v>7</v>
      </c>
      <c r="X28" s="4" t="s">
        <v>8</v>
      </c>
      <c r="Y28" s="4" t="s">
        <v>9</v>
      </c>
      <c r="Z28" s="4" t="s">
        <v>10</v>
      </c>
      <c r="AA28" s="4" t="s">
        <v>11</v>
      </c>
      <c r="AB28" s="5" t="s">
        <v>12</v>
      </c>
      <c r="AC28" s="6" t="s">
        <v>7</v>
      </c>
      <c r="AD28" s="7" t="s">
        <v>8</v>
      </c>
      <c r="AE28" s="7" t="s">
        <v>9</v>
      </c>
      <c r="AF28" s="7" t="s">
        <v>10</v>
      </c>
      <c r="AG28" s="7" t="s">
        <v>11</v>
      </c>
      <c r="AH28" s="8" t="s">
        <v>12</v>
      </c>
      <c r="AI28" s="6" t="s">
        <v>7</v>
      </c>
      <c r="AJ28" s="7" t="s">
        <v>8</v>
      </c>
      <c r="AK28" s="7" t="s">
        <v>9</v>
      </c>
      <c r="AL28" s="7" t="s">
        <v>10</v>
      </c>
      <c r="AM28" s="7" t="s">
        <v>11</v>
      </c>
      <c r="AN28" s="8" t="s">
        <v>12</v>
      </c>
    </row>
    <row r="29" spans="2:40">
      <c r="B29" s="11" t="s">
        <v>7</v>
      </c>
      <c r="C29" s="19"/>
      <c r="D29" s="20"/>
      <c r="E29" s="20"/>
      <c r="F29" s="20"/>
      <c r="G29" s="20"/>
      <c r="H29" s="21"/>
      <c r="I29" s="2"/>
      <c r="J29" s="2"/>
      <c r="K29" s="2"/>
      <c r="L29" s="2"/>
      <c r="M29" s="2"/>
      <c r="N29" s="10"/>
      <c r="O29" s="2"/>
      <c r="P29" s="2"/>
      <c r="Q29" s="2"/>
      <c r="R29" s="2"/>
      <c r="S29" s="2"/>
      <c r="T29" s="10"/>
      <c r="V29" s="11" t="s">
        <v>7</v>
      </c>
      <c r="W29" s="19"/>
      <c r="X29" s="20"/>
      <c r="Y29" s="20"/>
      <c r="Z29" s="20"/>
      <c r="AA29" s="20"/>
      <c r="AB29" s="21"/>
      <c r="AC29" s="2"/>
      <c r="AD29" s="2"/>
      <c r="AE29" s="2"/>
      <c r="AF29" s="2"/>
      <c r="AG29" s="2"/>
      <c r="AH29" s="10"/>
      <c r="AI29" s="2"/>
      <c r="AJ29" s="2"/>
      <c r="AK29" s="2"/>
      <c r="AL29" s="2"/>
      <c r="AM29" s="2"/>
      <c r="AN29" s="10"/>
    </row>
    <row r="30" spans="2:40">
      <c r="B30" s="11" t="s">
        <v>8</v>
      </c>
      <c r="C30" s="22"/>
      <c r="D30" s="2"/>
      <c r="E30" s="2"/>
      <c r="F30" s="2"/>
      <c r="G30" s="2"/>
      <c r="H30" s="10"/>
      <c r="I30" s="2"/>
      <c r="J30" s="2"/>
      <c r="K30" s="2"/>
      <c r="L30" s="2"/>
      <c r="M30" s="2"/>
      <c r="N30" s="10"/>
      <c r="O30" s="2"/>
      <c r="P30" s="2"/>
      <c r="Q30" s="2"/>
      <c r="R30" s="2"/>
      <c r="S30" s="2"/>
      <c r="T30" s="10"/>
      <c r="V30" s="11" t="s">
        <v>8</v>
      </c>
      <c r="W30" s="22"/>
      <c r="X30" s="2"/>
      <c r="Y30" s="2"/>
      <c r="Z30" s="2"/>
      <c r="AA30" s="2"/>
      <c r="AB30" s="10"/>
      <c r="AC30" s="2"/>
      <c r="AD30" s="2"/>
      <c r="AE30" s="2"/>
      <c r="AF30" s="2"/>
      <c r="AG30" s="2"/>
      <c r="AH30" s="10"/>
      <c r="AI30" s="2"/>
      <c r="AJ30" s="2"/>
      <c r="AK30" s="2"/>
      <c r="AL30" s="2"/>
      <c r="AM30" s="2"/>
      <c r="AN30" s="10"/>
    </row>
    <row r="31" spans="2:40">
      <c r="B31" s="11" t="s">
        <v>9</v>
      </c>
      <c r="C31" s="22"/>
      <c r="D31" s="2"/>
      <c r="E31" s="2"/>
      <c r="F31" s="2"/>
      <c r="G31" s="2"/>
      <c r="H31" s="10"/>
      <c r="I31" s="2"/>
      <c r="J31" s="2"/>
      <c r="K31" s="2"/>
      <c r="L31" s="2"/>
      <c r="M31" s="2"/>
      <c r="N31" s="10"/>
      <c r="O31" s="2"/>
      <c r="P31" s="2"/>
      <c r="Q31" s="2"/>
      <c r="R31" s="2"/>
      <c r="S31" s="2"/>
      <c r="T31" s="10"/>
      <c r="V31" s="11" t="s">
        <v>9</v>
      </c>
      <c r="W31" s="22"/>
      <c r="X31" s="2"/>
      <c r="Y31" s="2"/>
      <c r="Z31" s="2"/>
      <c r="AA31" s="2"/>
      <c r="AB31" s="10"/>
      <c r="AC31" s="2"/>
      <c r="AD31" s="2"/>
      <c r="AE31" s="2"/>
      <c r="AF31" s="2"/>
      <c r="AG31" s="2"/>
      <c r="AH31" s="10"/>
      <c r="AI31" s="2"/>
      <c r="AJ31" s="2"/>
      <c r="AK31" s="2"/>
      <c r="AL31" s="2"/>
      <c r="AM31" s="2"/>
      <c r="AN31" s="10"/>
    </row>
    <row r="32" spans="2:40">
      <c r="B32" s="11" t="s">
        <v>10</v>
      </c>
      <c r="C32" s="22"/>
      <c r="D32" s="2"/>
      <c r="E32" s="2"/>
      <c r="F32" s="2"/>
      <c r="G32" s="2"/>
      <c r="H32" s="10"/>
      <c r="I32" s="2"/>
      <c r="J32" s="2"/>
      <c r="K32" s="2"/>
      <c r="L32" s="2"/>
      <c r="M32" s="2"/>
      <c r="N32" s="10"/>
      <c r="O32" s="2"/>
      <c r="P32" s="2"/>
      <c r="Q32" s="2"/>
      <c r="R32" s="2"/>
      <c r="S32" s="2"/>
      <c r="T32" s="10"/>
      <c r="V32" s="11" t="s">
        <v>10</v>
      </c>
      <c r="W32" s="22"/>
      <c r="X32" s="2"/>
      <c r="Y32" s="2"/>
      <c r="Z32" s="2"/>
      <c r="AA32" s="2"/>
      <c r="AB32" s="10"/>
      <c r="AC32" s="2"/>
      <c r="AD32" s="2"/>
      <c r="AE32" s="2"/>
      <c r="AF32" s="2"/>
      <c r="AG32" s="2"/>
      <c r="AH32" s="10"/>
      <c r="AI32" s="2"/>
      <c r="AJ32" s="2"/>
      <c r="AK32" s="2"/>
      <c r="AL32" s="2"/>
      <c r="AM32" s="2"/>
      <c r="AN32" s="10"/>
    </row>
    <row r="33" spans="2:40">
      <c r="B33" s="11" t="s">
        <v>11</v>
      </c>
      <c r="C33" s="22"/>
      <c r="D33" s="2"/>
      <c r="E33" s="2"/>
      <c r="F33" s="2"/>
      <c r="G33" s="2"/>
      <c r="H33" s="10"/>
      <c r="I33" s="2"/>
      <c r="J33" s="2"/>
      <c r="K33" s="2"/>
      <c r="M33" s="2"/>
      <c r="N33" s="10"/>
      <c r="O33" s="2"/>
      <c r="P33" s="2"/>
      <c r="Q33" s="2"/>
      <c r="R33" s="2"/>
      <c r="S33" s="2"/>
      <c r="T33" s="10"/>
      <c r="V33" s="11" t="s">
        <v>11</v>
      </c>
      <c r="Z33" s="2"/>
      <c r="AA33" s="2"/>
      <c r="AB33" s="10"/>
      <c r="AC33" s="2"/>
      <c r="AE33" s="2"/>
      <c r="AF33" s="2"/>
      <c r="AG33" s="2"/>
      <c r="AH33" s="10"/>
      <c r="AI33" s="2"/>
      <c r="AJ33" s="2"/>
      <c r="AK33" s="2"/>
      <c r="AL33" s="2"/>
      <c r="AM33" s="2"/>
      <c r="AN33" s="10"/>
    </row>
    <row r="34" spans="2:40" ht="15.75" thickBot="1">
      <c r="B34" s="12" t="s">
        <v>12</v>
      </c>
      <c r="C34" s="23"/>
      <c r="D34" s="13"/>
      <c r="E34" s="13"/>
      <c r="F34" s="13"/>
      <c r="G34" s="13"/>
      <c r="H34" s="14"/>
      <c r="I34" s="13"/>
      <c r="J34" s="13"/>
      <c r="K34" s="13"/>
      <c r="L34" s="2"/>
      <c r="M34" s="13"/>
      <c r="N34" s="14"/>
      <c r="O34" s="13"/>
      <c r="P34" s="13"/>
      <c r="Q34" s="13"/>
      <c r="R34" s="13"/>
      <c r="S34" s="13"/>
      <c r="T34" s="14"/>
      <c r="V34" s="12" t="s">
        <v>12</v>
      </c>
      <c r="W34" s="22"/>
      <c r="X34" s="2"/>
      <c r="Y34" s="2"/>
      <c r="Z34" s="13"/>
      <c r="AA34" s="13"/>
      <c r="AB34" s="14"/>
      <c r="AC34" s="13"/>
      <c r="AD34" s="2"/>
      <c r="AE34" s="13"/>
      <c r="AF34" s="13"/>
      <c r="AG34" s="13"/>
      <c r="AH34" s="14"/>
      <c r="AI34" s="13"/>
      <c r="AJ34" s="13"/>
      <c r="AK34" s="13"/>
      <c r="AL34" s="13"/>
      <c r="AM34" s="13"/>
      <c r="AN34" s="14"/>
    </row>
    <row r="35" spans="2:40" ht="15.75" thickBot="1">
      <c r="B35" s="36" t="s">
        <v>26</v>
      </c>
      <c r="C35" s="32"/>
      <c r="D35" s="16"/>
      <c r="E35" s="17"/>
      <c r="F35" s="17"/>
      <c r="G35" s="17"/>
      <c r="H35" s="18"/>
      <c r="I35" s="17"/>
      <c r="J35" s="17"/>
      <c r="K35" s="17"/>
      <c r="L35" s="17"/>
      <c r="M35" s="17"/>
      <c r="N35" s="18"/>
      <c r="O35" s="17"/>
      <c r="P35" s="17"/>
      <c r="Q35" s="17"/>
      <c r="R35" s="17"/>
      <c r="S35" s="17"/>
      <c r="T35" s="18"/>
      <c r="V35" s="35" t="s">
        <v>26</v>
      </c>
      <c r="W35" s="32"/>
      <c r="X35" s="16"/>
      <c r="Y35" s="17"/>
      <c r="Z35" s="17"/>
      <c r="AA35" s="17"/>
      <c r="AB35" s="18"/>
      <c r="AC35" s="17"/>
      <c r="AD35" s="17"/>
      <c r="AE35" s="17"/>
      <c r="AF35" s="17"/>
      <c r="AG35" s="17"/>
      <c r="AH35" s="18"/>
      <c r="AI35" s="17"/>
      <c r="AJ35" s="17"/>
      <c r="AK35" s="17"/>
      <c r="AL35" s="17"/>
      <c r="AM35" s="17"/>
      <c r="AN35" s="18"/>
    </row>
    <row r="37" spans="2:40" ht="15.75" thickBot="1">
      <c r="C37" s="31"/>
    </row>
    <row r="38" spans="2:40" ht="15.75" thickBot="1">
      <c r="B38" s="82" t="s">
        <v>27</v>
      </c>
      <c r="C38" s="85" t="s">
        <v>20</v>
      </c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  <c r="S38" s="86"/>
      <c r="T38" s="87"/>
      <c r="V38" s="82" t="s">
        <v>29</v>
      </c>
      <c r="W38" s="85" t="s">
        <v>20</v>
      </c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7"/>
    </row>
    <row r="39" spans="2:40" ht="15.75" thickBot="1">
      <c r="B39" s="83"/>
      <c r="C39" s="88" t="s">
        <v>15</v>
      </c>
      <c r="D39" s="89"/>
      <c r="E39" s="89"/>
      <c r="F39" s="89"/>
      <c r="G39" s="89"/>
      <c r="H39" s="90"/>
      <c r="I39" s="88" t="s">
        <v>6</v>
      </c>
      <c r="J39" s="89"/>
      <c r="K39" s="89"/>
      <c r="L39" s="89"/>
      <c r="M39" s="89"/>
      <c r="N39" s="90"/>
      <c r="O39" s="88" t="s">
        <v>17</v>
      </c>
      <c r="P39" s="89"/>
      <c r="Q39" s="89"/>
      <c r="R39" s="89"/>
      <c r="S39" s="89"/>
      <c r="T39" s="90"/>
      <c r="V39" s="83"/>
      <c r="W39" s="88" t="s">
        <v>15</v>
      </c>
      <c r="X39" s="89"/>
      <c r="Y39" s="89"/>
      <c r="Z39" s="89"/>
      <c r="AA39" s="89"/>
      <c r="AB39" s="90"/>
      <c r="AC39" s="88" t="s">
        <v>6</v>
      </c>
      <c r="AD39" s="89"/>
      <c r="AE39" s="89"/>
      <c r="AF39" s="89"/>
      <c r="AG39" s="89"/>
      <c r="AH39" s="90"/>
      <c r="AI39" s="88" t="s">
        <v>17</v>
      </c>
      <c r="AJ39" s="89"/>
      <c r="AK39" s="89"/>
      <c r="AL39" s="89"/>
      <c r="AM39" s="89"/>
      <c r="AN39" s="90"/>
    </row>
    <row r="40" spans="2:40" ht="15.75" thickBot="1">
      <c r="B40" s="84"/>
      <c r="C40" s="3" t="s">
        <v>7</v>
      </c>
      <c r="D40" s="4" t="s">
        <v>8</v>
      </c>
      <c r="E40" s="4" t="s">
        <v>9</v>
      </c>
      <c r="F40" s="4" t="s">
        <v>10</v>
      </c>
      <c r="G40" s="4" t="s">
        <v>11</v>
      </c>
      <c r="H40" s="5" t="s">
        <v>12</v>
      </c>
      <c r="I40" s="6" t="s">
        <v>7</v>
      </c>
      <c r="J40" s="7" t="s">
        <v>8</v>
      </c>
      <c r="K40" s="7" t="s">
        <v>9</v>
      </c>
      <c r="L40" s="7" t="s">
        <v>10</v>
      </c>
      <c r="M40" s="7" t="s">
        <v>11</v>
      </c>
      <c r="N40" s="8" t="s">
        <v>12</v>
      </c>
      <c r="O40" s="6" t="s">
        <v>7</v>
      </c>
      <c r="P40" s="7" t="s">
        <v>8</v>
      </c>
      <c r="Q40" s="7" t="s">
        <v>9</v>
      </c>
      <c r="R40" s="7" t="s">
        <v>10</v>
      </c>
      <c r="S40" s="7" t="s">
        <v>11</v>
      </c>
      <c r="T40" s="8" t="s">
        <v>12</v>
      </c>
      <c r="V40" s="84"/>
      <c r="W40" s="3" t="s">
        <v>7</v>
      </c>
      <c r="X40" s="4" t="s">
        <v>8</v>
      </c>
      <c r="Y40" s="4" t="s">
        <v>9</v>
      </c>
      <c r="Z40" s="4" t="s">
        <v>10</v>
      </c>
      <c r="AA40" s="4" t="s">
        <v>11</v>
      </c>
      <c r="AB40" s="5" t="s">
        <v>12</v>
      </c>
      <c r="AC40" s="6" t="s">
        <v>7</v>
      </c>
      <c r="AD40" s="7" t="s">
        <v>8</v>
      </c>
      <c r="AE40" s="7" t="s">
        <v>9</v>
      </c>
      <c r="AF40" s="7" t="s">
        <v>10</v>
      </c>
      <c r="AG40" s="7" t="s">
        <v>11</v>
      </c>
      <c r="AH40" s="8" t="s">
        <v>12</v>
      </c>
      <c r="AI40" s="6" t="s">
        <v>7</v>
      </c>
      <c r="AJ40" s="7" t="s">
        <v>8</v>
      </c>
      <c r="AK40" s="7" t="s">
        <v>9</v>
      </c>
      <c r="AL40" s="7" t="s">
        <v>10</v>
      </c>
      <c r="AM40" s="7" t="s">
        <v>11</v>
      </c>
      <c r="AN40" s="8" t="s">
        <v>12</v>
      </c>
    </row>
    <row r="41" spans="2:40">
      <c r="B41" s="11" t="s">
        <v>7</v>
      </c>
      <c r="C41" s="19"/>
      <c r="D41" s="20"/>
      <c r="E41" s="20"/>
      <c r="F41" s="20"/>
      <c r="G41" s="20"/>
      <c r="H41" s="21"/>
      <c r="I41" s="2"/>
      <c r="J41" s="2"/>
      <c r="K41" s="2"/>
      <c r="L41" s="2"/>
      <c r="M41" s="2"/>
      <c r="N41" s="10"/>
      <c r="O41" s="2"/>
      <c r="P41" s="2"/>
      <c r="Q41" s="2"/>
      <c r="R41" s="2"/>
      <c r="S41" s="2"/>
      <c r="T41" s="10"/>
      <c r="V41" s="11" t="s">
        <v>7</v>
      </c>
      <c r="W41" s="19"/>
      <c r="X41" s="20"/>
      <c r="Y41" s="20"/>
      <c r="Z41" s="20"/>
      <c r="AA41" s="20"/>
      <c r="AB41" s="21"/>
      <c r="AC41" s="2"/>
      <c r="AD41" s="2"/>
      <c r="AE41" s="2"/>
      <c r="AF41" s="2"/>
      <c r="AG41" s="2"/>
      <c r="AH41" s="10"/>
      <c r="AI41" s="2"/>
      <c r="AJ41" s="2"/>
      <c r="AK41" s="2"/>
      <c r="AL41" s="2"/>
      <c r="AM41" s="2"/>
      <c r="AN41" s="10"/>
    </row>
    <row r="42" spans="2:40">
      <c r="B42" s="11" t="s">
        <v>8</v>
      </c>
      <c r="C42" s="22"/>
      <c r="D42" s="2"/>
      <c r="E42" s="2"/>
      <c r="F42" s="2"/>
      <c r="G42" s="2"/>
      <c r="H42" s="10"/>
      <c r="I42" s="2"/>
      <c r="J42" s="2"/>
      <c r="K42" s="2"/>
      <c r="L42" s="2"/>
      <c r="M42" s="2"/>
      <c r="N42" s="10"/>
      <c r="O42" s="2"/>
      <c r="P42" s="2"/>
      <c r="Q42" s="2"/>
      <c r="R42" s="2"/>
      <c r="S42" s="2"/>
      <c r="T42" s="10"/>
      <c r="V42" s="11" t="s">
        <v>8</v>
      </c>
      <c r="W42" s="22"/>
      <c r="X42" s="2"/>
      <c r="Y42" s="2"/>
      <c r="Z42" s="2"/>
      <c r="AA42" s="2"/>
      <c r="AB42" s="10"/>
      <c r="AC42" s="2"/>
      <c r="AD42" s="2"/>
      <c r="AE42" s="2"/>
      <c r="AF42" s="2"/>
      <c r="AG42" s="2"/>
      <c r="AH42" s="10"/>
      <c r="AI42" s="2"/>
      <c r="AJ42" s="2"/>
      <c r="AK42" s="2"/>
      <c r="AL42" s="2"/>
      <c r="AM42" s="2"/>
      <c r="AN42" s="10"/>
    </row>
    <row r="43" spans="2:40">
      <c r="B43" s="11" t="s">
        <v>9</v>
      </c>
      <c r="C43" s="22"/>
      <c r="D43" s="2"/>
      <c r="E43" s="2"/>
      <c r="F43" s="2"/>
      <c r="G43" s="2"/>
      <c r="H43" s="10"/>
      <c r="I43" s="2"/>
      <c r="J43" s="2"/>
      <c r="K43" s="2"/>
      <c r="L43" s="2"/>
      <c r="M43" s="2"/>
      <c r="N43" s="10"/>
      <c r="O43" s="2"/>
      <c r="P43" s="2"/>
      <c r="Q43" s="2"/>
      <c r="R43" s="2"/>
      <c r="S43" s="2"/>
      <c r="T43" s="10"/>
      <c r="V43" s="11" t="s">
        <v>9</v>
      </c>
      <c r="W43" s="22"/>
      <c r="X43" s="2"/>
      <c r="Y43" s="2"/>
      <c r="Z43" s="2"/>
      <c r="AA43" s="2"/>
      <c r="AB43" s="10"/>
      <c r="AC43" s="2"/>
      <c r="AD43" s="2"/>
      <c r="AE43" s="2"/>
      <c r="AF43" s="2"/>
      <c r="AG43" s="2"/>
      <c r="AH43" s="10"/>
      <c r="AI43" s="2"/>
      <c r="AJ43" s="2"/>
      <c r="AK43" s="2"/>
      <c r="AL43" s="2"/>
      <c r="AM43" s="2"/>
      <c r="AN43" s="10"/>
    </row>
    <row r="44" spans="2:40">
      <c r="B44" s="11" t="s">
        <v>10</v>
      </c>
      <c r="C44" s="22"/>
      <c r="D44" s="2"/>
      <c r="E44" s="2"/>
      <c r="F44" s="2"/>
      <c r="G44" s="2"/>
      <c r="H44" s="10"/>
      <c r="I44" s="2"/>
      <c r="J44" s="2"/>
      <c r="K44" s="2"/>
      <c r="L44" s="2"/>
      <c r="M44" s="2"/>
      <c r="N44" s="10"/>
      <c r="O44" s="2"/>
      <c r="P44" s="2"/>
      <c r="Q44" s="2"/>
      <c r="R44" s="2"/>
      <c r="S44" s="2"/>
      <c r="T44" s="10"/>
      <c r="V44" s="11" t="s">
        <v>10</v>
      </c>
      <c r="W44" s="22"/>
      <c r="X44" s="2"/>
      <c r="Y44" s="2"/>
      <c r="Z44" s="2"/>
      <c r="AA44" s="2"/>
      <c r="AB44" s="10"/>
      <c r="AC44" s="2"/>
      <c r="AD44" s="2"/>
      <c r="AE44" s="2"/>
      <c r="AF44" s="2"/>
      <c r="AG44" s="2"/>
      <c r="AH44" s="10"/>
      <c r="AI44" s="2"/>
      <c r="AJ44" s="2"/>
      <c r="AK44" s="2"/>
      <c r="AL44" s="2"/>
      <c r="AM44" s="2"/>
      <c r="AN44" s="10"/>
    </row>
    <row r="45" spans="2:40">
      <c r="B45" s="11" t="s">
        <v>11</v>
      </c>
      <c r="C45" s="22"/>
      <c r="D45" s="2"/>
      <c r="E45" s="2"/>
      <c r="F45" s="2"/>
      <c r="G45" s="2"/>
      <c r="H45" s="10"/>
      <c r="I45" s="2"/>
      <c r="J45" s="2"/>
      <c r="K45" s="2"/>
      <c r="L45" s="2"/>
      <c r="M45" s="2"/>
      <c r="N45" s="10"/>
      <c r="O45" s="2"/>
      <c r="P45" s="2"/>
      <c r="Q45" s="2"/>
      <c r="S45" s="2"/>
      <c r="T45" s="10"/>
      <c r="V45" s="11" t="s">
        <v>11</v>
      </c>
      <c r="W45" s="22"/>
      <c r="X45" s="2"/>
      <c r="Y45" s="2"/>
      <c r="Z45" s="2"/>
      <c r="AA45" s="2"/>
      <c r="AB45" s="10"/>
      <c r="AC45" s="2"/>
      <c r="AD45" s="2"/>
      <c r="AE45" s="2"/>
      <c r="AF45" s="2"/>
      <c r="AG45" s="2"/>
      <c r="AH45" s="10"/>
      <c r="AI45" s="2"/>
      <c r="AJ45" s="2"/>
      <c r="AK45" s="2"/>
      <c r="AL45" s="2"/>
      <c r="AM45" s="2"/>
      <c r="AN45" s="10"/>
    </row>
    <row r="46" spans="2:40" ht="15.75" thickBot="1">
      <c r="B46" s="12" t="s">
        <v>12</v>
      </c>
      <c r="C46" s="23"/>
      <c r="D46" s="13"/>
      <c r="E46" s="13"/>
      <c r="F46" s="13"/>
      <c r="G46" s="13"/>
      <c r="H46" s="14"/>
      <c r="I46" s="13"/>
      <c r="J46" s="13"/>
      <c r="K46" s="13"/>
      <c r="L46" s="13"/>
      <c r="M46" s="13"/>
      <c r="N46" s="14"/>
      <c r="O46" s="13"/>
      <c r="P46" s="13"/>
      <c r="Q46" s="13"/>
      <c r="R46" s="2"/>
      <c r="S46" s="13"/>
      <c r="T46" s="14"/>
      <c r="V46" s="12" t="s">
        <v>12</v>
      </c>
      <c r="W46" s="23"/>
      <c r="X46" s="13"/>
      <c r="Y46" s="13"/>
      <c r="Z46" s="13"/>
      <c r="AA46" s="13"/>
      <c r="AB46" s="14"/>
      <c r="AC46" s="13"/>
      <c r="AD46" s="13"/>
      <c r="AE46" s="13"/>
      <c r="AF46" s="13"/>
      <c r="AG46" s="13"/>
      <c r="AH46" s="14"/>
      <c r="AI46" s="13"/>
      <c r="AJ46" s="13"/>
      <c r="AK46" s="13"/>
      <c r="AL46" s="13"/>
      <c r="AM46" s="13"/>
      <c r="AN46" s="14"/>
    </row>
    <row r="47" spans="2:40" ht="15.75" thickBot="1">
      <c r="B47" s="36" t="s">
        <v>26</v>
      </c>
      <c r="C47" s="32"/>
      <c r="D47" s="16"/>
      <c r="E47" s="17"/>
      <c r="F47" s="17"/>
      <c r="G47" s="17"/>
      <c r="H47" s="18"/>
      <c r="I47" s="17"/>
      <c r="J47" s="17"/>
      <c r="K47" s="17"/>
      <c r="L47" s="17"/>
      <c r="M47" s="17"/>
      <c r="N47" s="18"/>
      <c r="O47" s="17"/>
      <c r="P47" s="17"/>
      <c r="Q47" s="17"/>
      <c r="R47" s="17"/>
      <c r="S47" s="17"/>
      <c r="T47" s="18"/>
      <c r="V47" s="35" t="s">
        <v>26</v>
      </c>
      <c r="W47" s="32"/>
      <c r="X47" s="16"/>
      <c r="Y47" s="17"/>
      <c r="Z47" s="17"/>
      <c r="AA47" s="17"/>
      <c r="AB47" s="18"/>
      <c r="AC47" s="17"/>
      <c r="AD47" s="17"/>
      <c r="AE47" s="17"/>
      <c r="AF47" s="17"/>
      <c r="AG47" s="17"/>
      <c r="AH47" s="18"/>
      <c r="AI47" s="17"/>
      <c r="AJ47" s="17"/>
      <c r="AK47" s="17"/>
      <c r="AL47" s="17"/>
      <c r="AM47" s="17"/>
      <c r="AN47" s="18"/>
    </row>
    <row r="48" spans="2:40" ht="15.75" thickBot="1"/>
    <row r="49" spans="2:20" ht="15.75" thickBot="1">
      <c r="C49" s="91" t="s">
        <v>42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3"/>
    </row>
    <row r="50" spans="2:20" ht="15.75" thickBot="1">
      <c r="C50" s="88" t="s">
        <v>15</v>
      </c>
      <c r="D50" s="89"/>
      <c r="E50" s="89"/>
      <c r="F50" s="89"/>
      <c r="G50" s="89"/>
      <c r="H50" s="90"/>
      <c r="I50" s="88" t="s">
        <v>6</v>
      </c>
      <c r="J50" s="89"/>
      <c r="K50" s="89"/>
      <c r="L50" s="89"/>
      <c r="M50" s="89"/>
      <c r="N50" s="90"/>
      <c r="O50" s="88" t="s">
        <v>17</v>
      </c>
      <c r="P50" s="89"/>
      <c r="Q50" s="89"/>
      <c r="R50" s="89"/>
      <c r="S50" s="89"/>
      <c r="T50" s="90"/>
    </row>
    <row r="51" spans="2:20" ht="15.75" thickBot="1">
      <c r="C51" s="19" t="s">
        <v>0</v>
      </c>
      <c r="D51" s="20" t="s">
        <v>0</v>
      </c>
      <c r="E51" s="20" t="s">
        <v>0</v>
      </c>
      <c r="F51" s="20" t="s">
        <v>19</v>
      </c>
      <c r="G51" s="20" t="s">
        <v>0</v>
      </c>
      <c r="H51" s="21" t="s">
        <v>18</v>
      </c>
      <c r="I51" s="19" t="s">
        <v>8</v>
      </c>
      <c r="J51" s="20" t="s">
        <v>37</v>
      </c>
      <c r="K51" s="20" t="s">
        <v>7</v>
      </c>
      <c r="L51" s="20" t="s">
        <v>37</v>
      </c>
      <c r="M51" s="20" t="s">
        <v>8</v>
      </c>
      <c r="N51" s="20" t="s">
        <v>37</v>
      </c>
      <c r="O51" s="20" t="s">
        <v>7</v>
      </c>
      <c r="P51" s="20" t="s">
        <v>7</v>
      </c>
      <c r="Q51" s="20" t="s">
        <v>7</v>
      </c>
      <c r="R51" s="20" t="s">
        <v>7</v>
      </c>
      <c r="S51" s="20" t="s">
        <v>7</v>
      </c>
      <c r="T51" s="21" t="s">
        <v>7</v>
      </c>
    </row>
    <row r="52" spans="2:20">
      <c r="B52" s="24" t="s">
        <v>0</v>
      </c>
      <c r="C52" s="25"/>
      <c r="D52" s="20"/>
      <c r="E52" s="20"/>
      <c r="F52" s="20"/>
      <c r="G52" s="20"/>
      <c r="H52" s="20"/>
      <c r="I52" s="25"/>
      <c r="J52" s="20"/>
      <c r="K52" s="20"/>
      <c r="L52" s="20"/>
      <c r="M52" s="20"/>
      <c r="N52" s="21"/>
      <c r="O52" s="25"/>
      <c r="P52" s="20"/>
      <c r="Q52" s="20"/>
      <c r="R52" s="20"/>
      <c r="S52" s="20"/>
      <c r="T52" s="21"/>
    </row>
    <row r="53" spans="2:20">
      <c r="B53" s="26" t="s">
        <v>1</v>
      </c>
      <c r="C53" s="22"/>
      <c r="D53" s="2"/>
      <c r="E53" s="2"/>
      <c r="F53" s="2"/>
      <c r="G53" s="2"/>
      <c r="H53" s="2"/>
      <c r="I53" s="22"/>
      <c r="J53" s="27"/>
      <c r="K53" s="2"/>
      <c r="L53" s="2"/>
      <c r="M53" s="2"/>
      <c r="N53" s="10"/>
      <c r="O53" s="22"/>
      <c r="P53" s="27"/>
      <c r="Q53" s="2"/>
      <c r="R53" s="2"/>
      <c r="S53" s="2"/>
      <c r="T53" s="10"/>
    </row>
    <row r="54" spans="2:20">
      <c r="B54" s="26" t="s">
        <v>2</v>
      </c>
      <c r="C54" s="22"/>
      <c r="D54" s="2"/>
      <c r="E54" s="27"/>
      <c r="F54" s="2"/>
      <c r="G54" s="2"/>
      <c r="H54" s="2"/>
      <c r="I54" s="22"/>
      <c r="J54" s="2"/>
      <c r="K54" s="27"/>
      <c r="L54" s="2"/>
      <c r="M54" s="2"/>
      <c r="N54" s="10"/>
      <c r="O54" s="22"/>
      <c r="P54" s="2"/>
      <c r="Q54" s="27"/>
      <c r="R54" s="2"/>
      <c r="S54" s="2"/>
      <c r="T54" s="10"/>
    </row>
    <row r="55" spans="2:20">
      <c r="B55" s="26" t="s">
        <v>3</v>
      </c>
      <c r="C55" s="22"/>
      <c r="D55" s="2"/>
      <c r="E55" s="2"/>
      <c r="F55" s="2"/>
      <c r="G55" s="2"/>
      <c r="H55" s="2"/>
      <c r="I55" s="22"/>
      <c r="J55" s="2"/>
      <c r="K55" s="2"/>
      <c r="L55" s="27"/>
      <c r="M55" s="2"/>
      <c r="N55" s="10"/>
      <c r="O55" s="22"/>
      <c r="P55" s="2"/>
      <c r="Q55" s="2"/>
      <c r="R55" s="27"/>
      <c r="S55" s="2"/>
      <c r="T55" s="10"/>
    </row>
    <row r="56" spans="2:20">
      <c r="B56" s="26" t="s">
        <v>4</v>
      </c>
      <c r="C56" s="22"/>
      <c r="D56" s="2"/>
      <c r="E56" s="2"/>
      <c r="F56" s="2"/>
      <c r="G56" s="27"/>
      <c r="H56" s="2"/>
      <c r="I56" s="22"/>
      <c r="J56" s="2"/>
      <c r="K56" s="2"/>
      <c r="L56" s="2"/>
      <c r="M56" s="27"/>
      <c r="N56" s="10"/>
      <c r="O56" s="22"/>
      <c r="P56" s="2"/>
      <c r="Q56" s="2"/>
      <c r="R56" s="2"/>
      <c r="S56" s="27"/>
      <c r="T56" s="10"/>
    </row>
    <row r="57" spans="2:20" ht="15.75" thickBot="1">
      <c r="B57" s="28" t="s">
        <v>5</v>
      </c>
      <c r="C57" s="23"/>
      <c r="D57" s="13"/>
      <c r="E57" s="13"/>
      <c r="F57" s="13"/>
      <c r="G57" s="13"/>
      <c r="H57" s="13"/>
      <c r="I57" s="23"/>
      <c r="J57" s="13"/>
      <c r="K57" s="13"/>
      <c r="L57" s="13"/>
      <c r="M57" s="13"/>
      <c r="N57" s="29"/>
      <c r="O57" s="23"/>
      <c r="P57" s="13"/>
      <c r="Q57" s="13"/>
      <c r="R57" s="13"/>
      <c r="S57" s="13"/>
      <c r="T57" s="29"/>
    </row>
    <row r="59" spans="2:20" ht="15.75" thickBot="1"/>
    <row r="60" spans="2:20" ht="15.75" thickBot="1">
      <c r="C60" s="91" t="s">
        <v>39</v>
      </c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3"/>
    </row>
    <row r="61" spans="2:20" ht="15.75" thickBot="1">
      <c r="C61" s="88" t="s">
        <v>15</v>
      </c>
      <c r="D61" s="89"/>
      <c r="E61" s="89"/>
      <c r="F61" s="89"/>
      <c r="G61" s="89"/>
      <c r="H61" s="90"/>
      <c r="I61" s="88" t="s">
        <v>6</v>
      </c>
      <c r="J61" s="89"/>
      <c r="K61" s="89"/>
      <c r="L61" s="89"/>
      <c r="M61" s="89"/>
      <c r="N61" s="90"/>
      <c r="O61" s="88" t="s">
        <v>17</v>
      </c>
      <c r="P61" s="89"/>
      <c r="Q61" s="89"/>
      <c r="R61" s="89"/>
      <c r="S61" s="89"/>
      <c r="T61" s="90"/>
    </row>
    <row r="62" spans="2:20" ht="15.75" thickBot="1">
      <c r="C62" s="19" t="s">
        <v>7</v>
      </c>
      <c r="D62" s="20" t="s">
        <v>8</v>
      </c>
      <c r="E62" s="20" t="s">
        <v>40</v>
      </c>
      <c r="F62" s="20" t="s">
        <v>10</v>
      </c>
      <c r="G62" s="20" t="s">
        <v>11</v>
      </c>
      <c r="H62" s="21" t="s">
        <v>12</v>
      </c>
      <c r="I62" s="19" t="s">
        <v>7</v>
      </c>
      <c r="J62" s="20" t="s">
        <v>8</v>
      </c>
      <c r="K62" s="20" t="s">
        <v>40</v>
      </c>
      <c r="L62" s="20" t="s">
        <v>10</v>
      </c>
      <c r="M62" s="20" t="s">
        <v>11</v>
      </c>
      <c r="N62" s="21" t="s">
        <v>12</v>
      </c>
      <c r="O62" s="19" t="s">
        <v>7</v>
      </c>
      <c r="P62" s="20" t="s">
        <v>8</v>
      </c>
      <c r="Q62" s="20" t="s">
        <v>40</v>
      </c>
      <c r="R62" s="20" t="s">
        <v>10</v>
      </c>
      <c r="S62" s="20" t="s">
        <v>11</v>
      </c>
      <c r="T62" s="21" t="s">
        <v>12</v>
      </c>
    </row>
    <row r="63" spans="2:20">
      <c r="B63" s="24" t="s">
        <v>0</v>
      </c>
      <c r="C63" s="19"/>
      <c r="D63" s="20"/>
      <c r="E63" s="20"/>
      <c r="F63" s="20"/>
      <c r="G63" s="20"/>
      <c r="H63" s="20"/>
      <c r="I63" s="19"/>
      <c r="J63" s="20"/>
      <c r="K63" s="20"/>
      <c r="L63" s="20"/>
      <c r="M63" s="20"/>
      <c r="N63" s="20"/>
      <c r="O63" s="19"/>
      <c r="P63" s="20"/>
      <c r="Q63" s="20"/>
      <c r="R63" s="20"/>
      <c r="S63" s="20"/>
      <c r="T63" s="21"/>
    </row>
    <row r="64" spans="2:20">
      <c r="B64" s="26" t="s">
        <v>1</v>
      </c>
      <c r="C64" s="22"/>
      <c r="D64" s="2"/>
      <c r="E64" s="2"/>
      <c r="F64" s="2"/>
      <c r="G64" s="2"/>
      <c r="H64" s="2"/>
      <c r="I64" s="22"/>
      <c r="J64" s="2"/>
      <c r="K64" s="2"/>
      <c r="L64" s="2"/>
      <c r="M64" s="2"/>
      <c r="N64" s="2"/>
      <c r="O64" s="22"/>
      <c r="P64" s="2"/>
      <c r="Q64" s="2"/>
      <c r="R64" s="2"/>
      <c r="S64" s="2"/>
      <c r="T64" s="10"/>
    </row>
    <row r="65" spans="2:20">
      <c r="B65" s="26" t="s">
        <v>2</v>
      </c>
      <c r="C65" s="22"/>
      <c r="D65" s="2"/>
      <c r="E65" s="2"/>
      <c r="F65" s="2"/>
      <c r="G65" s="2"/>
      <c r="H65" s="2"/>
      <c r="I65" s="22"/>
      <c r="J65" s="2"/>
      <c r="K65" s="2"/>
      <c r="L65" s="2"/>
      <c r="M65" s="2"/>
      <c r="N65" s="2"/>
      <c r="O65" s="22"/>
      <c r="P65" s="2"/>
      <c r="Q65" s="2"/>
      <c r="R65" s="2"/>
      <c r="S65" s="2"/>
      <c r="T65" s="10"/>
    </row>
    <row r="66" spans="2:20">
      <c r="B66" s="26" t="s">
        <v>3</v>
      </c>
      <c r="C66" s="22"/>
      <c r="D66" s="2"/>
      <c r="E66" s="2"/>
      <c r="F66" s="2"/>
      <c r="G66" s="2"/>
      <c r="H66" s="2"/>
      <c r="I66" s="22"/>
      <c r="J66" s="2"/>
      <c r="K66" s="2"/>
      <c r="L66" s="2"/>
      <c r="M66" s="2"/>
      <c r="N66" s="2"/>
      <c r="O66" s="22"/>
      <c r="P66" s="2"/>
      <c r="Q66" s="2"/>
      <c r="R66" s="2"/>
      <c r="S66" s="2"/>
      <c r="T66" s="10"/>
    </row>
    <row r="67" spans="2:20">
      <c r="B67" s="26" t="s">
        <v>4</v>
      </c>
      <c r="C67" s="22"/>
      <c r="D67" s="2"/>
      <c r="E67" s="2"/>
      <c r="F67" s="2"/>
      <c r="G67" s="2"/>
      <c r="H67" s="2"/>
      <c r="I67" s="22"/>
      <c r="J67" s="2"/>
      <c r="K67" s="2"/>
      <c r="L67" s="2"/>
      <c r="M67" s="2"/>
      <c r="N67" s="2"/>
      <c r="O67" s="22"/>
      <c r="P67" s="2"/>
      <c r="Q67" s="2"/>
      <c r="R67" s="2"/>
      <c r="S67" s="2"/>
      <c r="T67" s="10"/>
    </row>
    <row r="68" spans="2:20" ht="15.75" thickBot="1">
      <c r="B68" s="28" t="s">
        <v>5</v>
      </c>
      <c r="C68" s="23"/>
      <c r="D68" s="13"/>
      <c r="E68" s="13"/>
      <c r="F68" s="13"/>
      <c r="G68" s="13"/>
      <c r="H68" s="13"/>
      <c r="I68" s="23"/>
      <c r="J68" s="13"/>
      <c r="K68" s="13"/>
      <c r="L68" s="13"/>
      <c r="M68" s="13"/>
      <c r="N68" s="13"/>
      <c r="O68" s="23"/>
      <c r="P68" s="13"/>
      <c r="Q68" s="13"/>
      <c r="R68" s="13"/>
      <c r="S68" s="13"/>
      <c r="T68" s="14"/>
    </row>
  </sheetData>
  <mergeCells count="43">
    <mergeCell ref="C60:T60"/>
    <mergeCell ref="C61:H61"/>
    <mergeCell ref="I61:N61"/>
    <mergeCell ref="O61:T61"/>
    <mergeCell ref="C15:T15"/>
    <mergeCell ref="C16:H16"/>
    <mergeCell ref="I16:N16"/>
    <mergeCell ref="O16:T16"/>
    <mergeCell ref="C49:T49"/>
    <mergeCell ref="C50:H50"/>
    <mergeCell ref="I50:N50"/>
    <mergeCell ref="O50:T50"/>
    <mergeCell ref="B15:B17"/>
    <mergeCell ref="O4:T4"/>
    <mergeCell ref="I4:N4"/>
    <mergeCell ref="C3:T3"/>
    <mergeCell ref="A1:B1"/>
    <mergeCell ref="C4:H4"/>
    <mergeCell ref="V15:V17"/>
    <mergeCell ref="W15:AN15"/>
    <mergeCell ref="W16:AB16"/>
    <mergeCell ref="AC16:AH16"/>
    <mergeCell ref="AI16:AN16"/>
    <mergeCell ref="B26:B28"/>
    <mergeCell ref="C26:T26"/>
    <mergeCell ref="V26:V28"/>
    <mergeCell ref="W26:AN26"/>
    <mergeCell ref="C27:H27"/>
    <mergeCell ref="I27:N27"/>
    <mergeCell ref="O27:T27"/>
    <mergeCell ref="W27:AB27"/>
    <mergeCell ref="AC27:AH27"/>
    <mergeCell ref="AI27:AN27"/>
    <mergeCell ref="B38:B40"/>
    <mergeCell ref="C38:T38"/>
    <mergeCell ref="V38:V40"/>
    <mergeCell ref="W38:AN38"/>
    <mergeCell ref="C39:H39"/>
    <mergeCell ref="I39:N39"/>
    <mergeCell ref="O39:T39"/>
    <mergeCell ref="W39:AB39"/>
    <mergeCell ref="AC39:AH39"/>
    <mergeCell ref="AI39:AN39"/>
  </mergeCells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1</vt:lpstr>
      <vt:lpstr>2</vt:lpstr>
      <vt:lpstr>3</vt:lpstr>
      <vt:lpstr>4</vt:lpstr>
      <vt:lpstr>5</vt:lpstr>
      <vt:lpstr>6</vt:lpstr>
      <vt:lpstr>7</vt:lpstr>
      <vt:lpstr>Summary</vt:lpstr>
      <vt:lpstr>Template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Juan</cp:lastModifiedBy>
  <dcterms:created xsi:type="dcterms:W3CDTF">2012-05-23T07:37:56Z</dcterms:created>
  <dcterms:modified xsi:type="dcterms:W3CDTF">2012-06-06T14:51:29Z</dcterms:modified>
</cp:coreProperties>
</file>